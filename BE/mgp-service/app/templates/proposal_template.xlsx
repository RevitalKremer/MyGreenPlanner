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03"/>
  <workbookPr filterPrivacy="1" codeName="ThisWorkbook"/>
  <xr:revisionPtr revIDLastSave="0" documentId="13_ncr:1_{B5A6DDC3-89D5-364A-ADEE-326CDD5EB49F}" xr6:coauthVersionLast="47" xr6:coauthVersionMax="47" xr10:uidLastSave="{00000000-0000-0000-0000-000000000000}"/>
  <bookViews>
    <workbookView xWindow="0" yWindow="660" windowWidth="34560" windowHeight="19720" xr2:uid="{00000000-000D-0000-FFFF-FFFF00000000}"/>
  </bookViews>
  <sheets>
    <sheet name="pricing" sheetId="2" r:id="rId1"/>
    <sheet name="quantities" sheetId="3" r:id="rId2"/>
  </sheets>
  <externalReferences>
    <externalReference r:id="rId3"/>
  </externalReferences>
  <definedNames>
    <definedName name="CLIENT">[1]ראשי!#REF!</definedName>
    <definedName name="CLIENT_NAME">[1]ראשי!#REF!</definedName>
    <definedName name="OFFER_DATE">[1]ראשי!#REF!</definedName>
    <definedName name="OFFER_VALID_TO">[1]ראשי!#REF!</definedName>
    <definedName name="_xlnm.Print_Area" localSheetId="0">pricing!$A$1:$I$30</definedName>
    <definedName name="_xlnm.Print_Area" localSheetId="1">quantities!$A$1:$L$17</definedName>
    <definedName name="prOJECT_NAME">[1]ראשי!#REF!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 l="1"/>
  <c r="L12" i="3"/>
  <c r="J12" i="3"/>
  <c r="I12" i="3" s="1"/>
  <c r="I15" i="3" s="1"/>
  <c r="N12" i="2"/>
  <c r="I13" i="2" s="1"/>
  <c r="I14" i="2" s="1"/>
  <c r="I15" i="2" s="1"/>
  <c r="L12" i="2"/>
  <c r="I16" i="2" s="1"/>
  <c r="J12" i="2"/>
  <c r="I12" i="2" s="1"/>
</calcChain>
</file>

<file path=xl/sharedStrings.xml><?xml version="1.0" encoding="utf-8"?>
<sst xmlns="http://schemas.openxmlformats.org/spreadsheetml/2006/main" count="83" uniqueCount="45">
  <si>
    <t>שורה</t>
  </si>
  <si>
    <t>אורך</t>
  </si>
  <si>
    <t>כמות</t>
  </si>
  <si>
    <t>*כמות פחת</t>
  </si>
  <si>
    <t>*משקל בק"ג</t>
  </si>
  <si>
    <t>&gt;% Discount - Construction</t>
  </si>
  <si>
    <t>*סה"כ מחיר כולל פחת אחרי הנחה (₪)</t>
  </si>
  <si>
    <t/>
  </si>
  <si>
    <t xml:space="preserve">   </t>
  </si>
  <si>
    <t>הצעת מחיר – קונסטרוקציה</t>
  </si>
  <si>
    <t>שם לקוח:</t>
  </si>
  <si>
    <t>תאריך:</t>
  </si>
  <si>
    <t xml:space="preserve">שם פרויקט: </t>
  </si>
  <si>
    <t>מיקום בגג</t>
  </si>
  <si>
    <t>תאור מוצר</t>
  </si>
  <si>
    <t>כמות: ק"ג\יחידות</t>
  </si>
  <si>
    <t>מחיר ליחידה (₪)</t>
  </si>
  <si>
    <t>סה"כ מחיר (₪)</t>
  </si>
  <si>
    <t>סה"כ מחיר כולל פחת (₪)</t>
  </si>
  <si>
    <t>מחיר</t>
  </si>
  <si>
    <t>סה"כ משקל</t>
  </si>
  <si>
    <t>מחיר אחרי הנחה</t>
  </si>
  <si>
    <t>מע"מ (18%)</t>
  </si>
  <si>
    <t>סה"כ משקל (ק"ג)</t>
  </si>
  <si>
    <t>תוקף ההצעה עד:</t>
  </si>
  <si>
    <t>תנאי תשלום:</t>
  </si>
  <si>
    <t>מזומן</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</si>
  <si>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t>
  </si>
  <si>
    <t>באחריות המזמין בלבד, להעביר את תוכניות הקונסטרוקציה לבדיקה ואישור של מהנדס בניין ולפקח על ביצוע טיב עבודת ההתקנה על ידי איש המוסמך לכך.</t>
  </si>
  <si>
    <t>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t>
  </si>
  <si>
    <t>אישור הצעת המחיר בכתב, בעל פה או בכל אמצעי אחר ו\או ביצוע עסקה בפועל, מהווה אישור והסכמה לאמור לעיל.</t>
  </si>
  <si>
    <t>בברכה,</t>
  </si>
  <si>
    <t>צוות שדות אנרגיה</t>
  </si>
  <si>
    <t>כתב כמויות</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</si>
  <si>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
באחריות המזמין בלבד, להעביר את תוכניות הקונסטרוקציה לבדיקה ואישור של מהנדס בניין ולפקח על ביצוע טיב עבודת
ההתקנה על ידי איש המוסמך לכך.
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
אישור הצעת המחיר בכתב, בעל פה או בכל אמצעי אחר ו\או ביצוע עסקה בפועל, מהווה אישור והסכמה לאמור לעיל.</t>
  </si>
  <si>
    <t>בברכה, צוות שדות אנרגיה</t>
  </si>
  <si>
    <t>CUSTOMER_NAME</t>
  </si>
  <si>
    <t>PROJECT_NAME</t>
  </si>
  <si>
    <t>PROPOSAL_DATE</t>
  </si>
  <si>
    <t>PRICE_TABLE_DATA_ROW</t>
  </si>
  <si>
    <t>QTY_TABLE_DATA_ROW</t>
  </si>
  <si>
    <t>משקל אבנים (ק"ג)</t>
  </si>
  <si>
    <t>משקל אלומיניום (ק"ג)</t>
  </si>
  <si>
    <t>BLOCKS_WEIGHT</t>
  </si>
  <si>
    <t>ALUMINIUM_WEIGHT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</si>
</sst>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1"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0"/>
      <name val="Calibri"/>
      <family val="2"/>
      <scheme val="minor"/>
    </font>
    <font>
      <sz val="12"/>
      <color theme="1"/>
      <name val="Heebo"/>
    </font>
    <font>
      <sz val="20"/>
      <color theme="1"/>
      <name val="Heebo"/>
    </font>
    <font>
      <sz val="12"/>
      <color rgb="FF2B2D2F"/>
      <name val="Calibri"/>
      <family val="2"/>
      <scheme val="minor"/>
    </font>
    <font>
      <b/>
      <u/>
      <sz val="14"/>
      <color theme="1"/>
      <name val="Heebo"/>
    </font>
    <font>
      <b/>
      <sz val="12"/>
      <color theme="1"/>
      <name val="Heebo"/>
    </font>
    <font>
      <b/>
      <u/>
      <sz val="12"/>
      <color theme="1"/>
      <name val="Heebo"/>
    </font>
    <font>
      <sz val="12"/>
      <color theme="0"/>
      <name val="Heebo"/>
    </font>
    <font>
      <sz val="11"/>
      <color theme="1"/>
      <name val="Heebo"/>
    </font>
    <font>
      <sz val="12"/>
      <color rgb="FF000000"/>
      <name val="Calibri"/>
      <family val="2"/>
    </font>
    <font>
      <b/>
      <sz val="11"/>
      <color theme="1"/>
      <name val="Calibri"/>
      <family val="2"/>
      <scheme val="minor"/>
    </font>
    <font>
      <sz val="10"/>
      <color rgb="FF272E2F"/>
      <name val="Heebo"/>
    </font>
    <font>
      <b/>
      <sz val="20"/>
      <color theme="1"/>
      <name val="Heebo"/>
    </font>
    <font>
      <sz val="12"/>
      <color rgb="FF000000"/>
      <name val="Heebo"/>
    </font>
    <font>
      <b/>
      <sz val="11"/>
      <color theme="1"/>
      <name val="Heebo"/>
    </font>
    <font>
      <sz val="8"/>
      <name val="Calibri"/>
      <family val="2"/>
      <scheme val="minor"/>
    </font>
    <font>
      <sz val="12"/>
      <color rgb="FF8C8C8C"/>
      <name val="Courier New"/>
      <family val="1"/>
    </font>
  </fonts>
  <fills count="3">
    <fill>
      <patternFill patternType="none"/>
    </fill>
    <fill>
      <patternFill patternType="gray125"/>
    </fill>
    <fill>
      <patternFill patternType="solid">
        <fgColor rgb="FF272E2F"/>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164" fontId="2" fillId="0" borderId="0" applyFont="0" applyFill="0" applyBorder="0" applyAlignment="0" applyProtection="0"/>
  </cellStyleXfs>
  <cellXfs count="61">
    <xf numFmtId="0" fontId="0" fillId="0" borderId="0" xfId="0"/>
    <xf numFmtId="0" fontId="5" fillId="0" borderId="0" xfId="0" applyFont="1" applyAlignment="1">
      <alignment horizontal="center" vertical="center"/>
    </xf>
    <xf numFmtId="4" fontId="5"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readingOrder="2"/>
    </xf>
    <xf numFmtId="0" fontId="7" fillId="0" borderId="0" xfId="0" applyFont="1" applyAlignment="1">
      <alignment horizontal="right" vertical="center" wrapText="1" readingOrder="2"/>
    </xf>
    <xf numFmtId="0" fontId="1" fillId="0" borderId="0" xfId="0" applyFont="1" applyAlignment="1">
      <alignment horizontal="right" vertical="center" wrapText="1" readingOrder="2"/>
    </xf>
    <xf numFmtId="0" fontId="8" fillId="0" borderId="0" xfId="0" applyFont="1" applyAlignment="1">
      <alignment horizontal="center" vertical="center" readingOrder="2"/>
    </xf>
    <xf numFmtId="0" fontId="5" fillId="0" borderId="0" xfId="0" applyFont="1" applyAlignment="1">
      <alignment horizontal="right" vertical="center" wrapText="1" readingOrder="2"/>
    </xf>
    <xf numFmtId="0" fontId="9" fillId="0" borderId="0" xfId="0" applyFont="1" applyAlignment="1">
      <alignment horizontal="right" vertical="center" wrapText="1" readingOrder="2"/>
    </xf>
    <xf numFmtId="0" fontId="5" fillId="0" borderId="0" xfId="0" applyFont="1" applyAlignment="1">
      <alignment horizontal="right" vertical="center"/>
    </xf>
    <xf numFmtId="0" fontId="5" fillId="0" borderId="0" xfId="0" applyFont="1" applyAlignment="1">
      <alignment vertical="center" wrapText="1" readingOrder="2"/>
    </xf>
    <xf numFmtId="0" fontId="9" fillId="0" borderId="0" xfId="0" applyFont="1" applyAlignment="1">
      <alignment vertical="center" wrapText="1" readingOrder="2"/>
    </xf>
    <xf numFmtId="0" fontId="8" fillId="0" borderId="0" xfId="0" applyFont="1" applyAlignment="1">
      <alignment vertical="center" readingOrder="2"/>
    </xf>
    <xf numFmtId="0" fontId="10" fillId="0" borderId="0" xfId="0" applyFont="1" applyAlignment="1">
      <alignment horizontal="center" vertical="center" readingOrder="2"/>
    </xf>
    <xf numFmtId="0" fontId="11" fillId="2" borderId="1" xfId="0" applyFont="1" applyFill="1" applyBorder="1" applyAlignment="1">
      <alignment horizontal="center" vertical="center"/>
    </xf>
    <xf numFmtId="4" fontId="11"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0" borderId="0" xfId="0" applyFont="1" applyAlignment="1">
      <alignment horizontal="center" vertical="center"/>
    </xf>
    <xf numFmtId="0" fontId="12" fillId="0" borderId="0" xfId="0" applyFont="1" applyAlignment="1">
      <alignment horizontal="center" vertical="center"/>
    </xf>
    <xf numFmtId="4" fontId="12" fillId="0" borderId="0" xfId="0" applyNumberFormat="1" applyFont="1" applyAlignment="1">
      <alignment horizontal="center" vertical="center"/>
    </xf>
    <xf numFmtId="4" fontId="0" fillId="0" borderId="0" xfId="0" applyNumberFormat="1" applyAlignment="1">
      <alignment horizontal="center" vertical="center"/>
    </xf>
    <xf numFmtId="4" fontId="13" fillId="0" borderId="0" xfId="0" applyNumberFormat="1" applyFont="1" applyAlignment="1">
      <alignment horizontal="center" vertical="center"/>
    </xf>
    <xf numFmtId="0" fontId="5" fillId="0" borderId="1" xfId="0" applyFont="1" applyBorder="1" applyAlignment="1">
      <alignment horizontal="center" vertical="center"/>
    </xf>
    <xf numFmtId="0" fontId="9" fillId="0" borderId="3" xfId="0" applyFont="1" applyBorder="1" applyAlignment="1">
      <alignment horizontal="center" vertical="center"/>
    </xf>
    <xf numFmtId="165" fontId="12" fillId="0" borderId="3" xfId="0" applyNumberFormat="1" applyFont="1" applyBorder="1" applyAlignment="1">
      <alignment horizontal="center" vertical="center"/>
    </xf>
    <xf numFmtId="165" fontId="0" fillId="0" borderId="3" xfId="0" applyNumberFormat="1" applyBorder="1" applyAlignment="1">
      <alignment horizontal="center" vertical="center"/>
    </xf>
    <xf numFmtId="0" fontId="3" fillId="0" borderId="0" xfId="0" applyFont="1" applyAlignment="1">
      <alignment horizontal="center" vertical="center"/>
    </xf>
    <xf numFmtId="165" fontId="14" fillId="0" borderId="3" xfId="0" applyNumberFormat="1" applyFont="1" applyBorder="1" applyAlignment="1">
      <alignment horizontal="center" vertical="center"/>
    </xf>
    <xf numFmtId="165" fontId="0" fillId="0" borderId="0" xfId="0" applyNumberFormat="1" applyAlignment="1">
      <alignment horizontal="center" vertical="center"/>
    </xf>
    <xf numFmtId="165" fontId="14" fillId="0" borderId="0" xfId="0" applyNumberFormat="1" applyFont="1" applyAlignment="1">
      <alignment horizontal="center" vertical="center"/>
    </xf>
    <xf numFmtId="164" fontId="5" fillId="0" borderId="1" xfId="0" applyNumberFormat="1" applyFont="1" applyBorder="1" applyAlignment="1">
      <alignment horizontal="center" vertical="center"/>
    </xf>
    <xf numFmtId="0" fontId="9" fillId="0" borderId="1" xfId="0" applyFont="1" applyBorder="1" applyAlignment="1">
      <alignment horizontal="center" vertical="center"/>
    </xf>
    <xf numFmtId="165" fontId="9" fillId="0" borderId="1" xfId="0" applyNumberFormat="1" applyFont="1" applyBorder="1" applyAlignment="1">
      <alignment horizontal="center" vertical="center"/>
    </xf>
    <xf numFmtId="0" fontId="5" fillId="0" borderId="0" xfId="0" applyFont="1" applyAlignment="1">
      <alignment horizontal="right" vertical="center" readingOrder="2"/>
    </xf>
    <xf numFmtId="14" fontId="5" fillId="0" borderId="0" xfId="0" applyNumberFormat="1" applyFont="1" applyAlignment="1">
      <alignment vertical="center" wrapText="1" readingOrder="2"/>
    </xf>
    <xf numFmtId="0" fontId="5" fillId="0" borderId="0" xfId="0" applyFont="1" applyAlignment="1">
      <alignment horizontal="justify" vertical="center" readingOrder="2"/>
    </xf>
    <xf numFmtId="0" fontId="5" fillId="0" borderId="0" xfId="0" applyFont="1" applyAlignment="1">
      <alignment horizontal="left" vertical="center" readingOrder="2"/>
    </xf>
    <xf numFmtId="0" fontId="12" fillId="0" borderId="0" xfId="0" applyFont="1"/>
    <xf numFmtId="0" fontId="5" fillId="0" borderId="0" xfId="0" applyFont="1" applyAlignment="1">
      <alignment horizontal="left" vertical="center" wrapText="1" readingOrder="2"/>
    </xf>
    <xf numFmtId="0" fontId="11" fillId="0" borderId="0" xfId="0" applyFont="1" applyAlignment="1">
      <alignment horizontal="center" vertical="center"/>
    </xf>
    <xf numFmtId="0" fontId="11" fillId="2" borderId="2" xfId="0" applyFont="1" applyFill="1" applyBorder="1" applyAlignment="1">
      <alignment horizontal="center" vertical="center"/>
    </xf>
    <xf numFmtId="4" fontId="17" fillId="0" borderId="0" xfId="0" applyNumberFormat="1" applyFont="1" applyAlignment="1">
      <alignment horizontal="center" vertical="center"/>
    </xf>
    <xf numFmtId="0" fontId="17" fillId="0" borderId="0" xfId="0" applyFont="1" applyAlignment="1">
      <alignment horizontal="center" vertical="center"/>
    </xf>
    <xf numFmtId="0" fontId="9" fillId="0" borderId="0" xfId="0" applyFont="1" applyAlignment="1">
      <alignment horizontal="center" vertical="center"/>
    </xf>
    <xf numFmtId="0" fontId="15" fillId="0" borderId="0" xfId="0" applyFont="1" applyAlignment="1">
      <alignment vertical="center" readingOrder="2"/>
    </xf>
    <xf numFmtId="0" fontId="20" fillId="0" borderId="0" xfId="0" applyFont="1"/>
    <xf numFmtId="0" fontId="9" fillId="0" borderId="4" xfId="0" applyFont="1" applyBorder="1" applyAlignment="1">
      <alignment horizontal="center" vertical="center"/>
    </xf>
    <xf numFmtId="0" fontId="9" fillId="0" borderId="5" xfId="0" applyFont="1" applyBorder="1" applyAlignment="1">
      <alignment horizontal="center" vertical="center"/>
    </xf>
    <xf numFmtId="165" fontId="12" fillId="0" borderId="5" xfId="0" applyNumberFormat="1" applyFont="1" applyBorder="1" applyAlignment="1">
      <alignment horizontal="center" vertical="center"/>
    </xf>
    <xf numFmtId="165" fontId="18" fillId="0" borderId="5" xfId="0" applyNumberFormat="1" applyFont="1" applyBorder="1" applyAlignment="1">
      <alignment horizontal="center" vertical="center"/>
    </xf>
    <xf numFmtId="165" fontId="12" fillId="0" borderId="1" xfId="0" applyNumberFormat="1" applyFont="1" applyBorder="1" applyAlignment="1">
      <alignment horizontal="center" vertical="center"/>
    </xf>
    <xf numFmtId="165" fontId="18" fillId="0" borderId="1" xfId="0" applyNumberFormat="1" applyFont="1" applyBorder="1" applyAlignment="1">
      <alignment horizontal="center" vertical="center"/>
    </xf>
    <xf numFmtId="0" fontId="5" fillId="0" borderId="0" xfId="0" applyFont="1" applyAlignment="1">
      <alignment horizontal="right" vertical="center"/>
    </xf>
    <xf numFmtId="0" fontId="16" fillId="0" borderId="0" xfId="0" applyFont="1" applyAlignment="1">
      <alignment horizontal="center" vertical="center" readingOrder="2"/>
    </xf>
    <xf numFmtId="0" fontId="5" fillId="0" borderId="0" xfId="0" applyFont="1" applyAlignment="1">
      <alignment horizontal="right" vertical="top" wrapText="1"/>
    </xf>
    <xf numFmtId="0" fontId="5" fillId="0" borderId="0" xfId="0" applyFont="1" applyAlignment="1">
      <alignment horizontal="center" vertical="center"/>
    </xf>
    <xf numFmtId="0" fontId="15" fillId="0" borderId="0" xfId="0" applyFont="1" applyAlignment="1">
      <alignment horizontal="center" vertical="center" readingOrder="2"/>
    </xf>
    <xf numFmtId="0" fontId="6" fillId="0" borderId="0" xfId="0" applyFont="1" applyAlignment="1">
      <alignment horizontal="center" vertical="center" readingOrder="2"/>
    </xf>
    <xf numFmtId="0" fontId="5" fillId="0" borderId="0" xfId="0" applyFont="1" applyAlignment="1">
      <alignment horizontal="right" vertical="center" readingOrder="2"/>
    </xf>
    <xf numFmtId="0" fontId="5" fillId="0" borderId="0" xfId="0" applyFont="1" applyAlignment="1">
      <alignment horizontal="right" vertical="center" wrapText="1" readingOrder="2"/>
    </xf>
  </cellXfs>
  <cellStyles count="2">
    <cellStyle name="Comma 2" xfId="1" xr:uid="{8B711F14-12F9-DB46-A59C-2DE7D2614634}"/>
    <cellStyle name="Normal" xfId="0" builtinId="0"/>
  </cellStyles>
  <dxfs count="46">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Calibri"/>
        <family val="2"/>
        <scheme val="minor"/>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Heebo"/>
        <scheme val="none"/>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onstruction%20Assistant%20v5.1.xlsm" TargetMode="External"/><Relationship Id="rId2" Type="http://schemas.openxmlformats.org/officeDocument/2006/relationships/externalLinkPath" Target="/Users/revitalkremer/Downloads/Construction%20Assistant%20v5.1.xlsm" TargetMode="External"/><Relationship Id="rId1" Type="http://schemas.openxmlformats.org/officeDocument/2006/relationships/externalLinkPath" Target="/Users/revitalkremer/Downloads/Construction%20Assistant%20v5.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ראשי"/>
      <sheetName val="MondayImport"/>
      <sheetName val="pricing"/>
      <sheetName val="quantities"/>
    </sheetNames>
    <sheetDataSet>
      <sheetData sheetId="0"/>
      <sheetData sheetId="1"/>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CB1EC1-21C6-AF40-A140-308C9117B91F}" name="pricing_table25" displayName="pricing_table25" ref="B10:N11" totalsRowShown="0" headerRowDxfId="23" dataDxfId="21" totalsRowDxfId="19" headerRowBorderDxfId="22" tableBorderDxfId="20" totalsRowBorderDxfId="18">
  <autoFilter ref="B10:N11" xr:uid="{A700047D-2A12-4A24-87A3-5C54C0CD36D6}"/>
  <tableColumns count="13">
    <tableColumn id="1" xr3:uid="{9715C0F5-6C58-0C48-A92D-3904FFEE1286}" name="שורה" dataDxfId="17"/>
    <tableColumn id="2" xr3:uid="{E71665ED-EE05-B544-8402-B3336F34DA2C}" name="מיקום בגג" dataDxfId="16"/>
    <tableColumn id="3" xr3:uid="{58C96AFC-B01E-D446-8E2A-ACF7B2497559}" name="תאור מוצר" dataDxfId="15"/>
    <tableColumn id="4" xr3:uid="{D9DC81BB-9F60-0047-86B9-14278D4E2EE7}" name="אורך" dataDxfId="14"/>
    <tableColumn id="5" xr3:uid="{B9B74024-7469-A149-9639-A328A6F77916}" name="כמות" dataDxfId="13"/>
    <tableColumn id="6" xr3:uid="{0FF2A4DA-EE5D-564C-892E-1BAF5895A4E7}" name="כמות: ק&quot;ג\יחידות" dataDxfId="12"/>
    <tableColumn id="7" xr3:uid="{D3D78E52-A52E-C949-9ABD-03AD0269F0BF}" name="מחיר ליחידה (₪)" dataDxfId="11"/>
    <tableColumn id="8" xr3:uid="{E1EB6162-FB78-1D4F-9435-2CE9366E3552}" name="סה&quot;כ מחיר (₪)" dataDxfId="10">
      <calculatedColumnFormula>pricing_table25[[#This Row],[מחיר ליחידה (₪)]]*pricing_table25[[#This Row],[כמות: ק"ג\יחידות]]</calculatedColumnFormula>
    </tableColumn>
    <tableColumn id="9" xr3:uid="{EAED02B8-7E3B-9B47-8C95-FD7B3D6B7DA0}" name="*כמות פחת" dataDxfId="9" totalsRowDxfId="8"/>
    <tableColumn id="10" xr3:uid="{8DD3D515-E5F7-3F44-AEEC-EBD82CE3FE68}" name="סה&quot;כ מחיר כולל פחת (₪)" dataDxfId="7" totalsRowDxfId="6"/>
    <tableColumn id="11" xr3:uid="{B17131E0-AD15-314F-8745-C01B5B56C8B5}" name="*משקל בק&quot;ג" dataDxfId="5" totalsRowDxfId="4"/>
    <tableColumn id="12" xr3:uid="{8383AEF5-4B81-5944-B8C1-7A02610AD799}" name="&gt;% Discount - Construction" dataDxfId="3" totalsRowDxfId="2"/>
    <tableColumn id="13" xr3:uid="{A6FF8C60-F61C-014D-BE3D-D97E0E91917D}" name="*סה&quot;כ מחיר כולל פחת אחרי הנחה (₪)" dataDxfId="1" totalsRowDxfId="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B791F9-974C-2D45-9198-4628741EC180}" name="pricing_table34" displayName="pricing_table34" ref="B10:N11" totalsRowShown="0" headerRowDxfId="45" dataDxfId="43" totalsRowDxfId="41" headerRowBorderDxfId="44" tableBorderDxfId="42" totalsRowBorderDxfId="40">
  <autoFilter ref="B10:N11" xr:uid="{A700047D-2A12-4A24-87A3-5C54C0CD36D6}"/>
  <tableColumns count="13">
    <tableColumn id="1" xr3:uid="{C9E84F90-D937-9240-8769-8F47365B79B5}" name="שורה" dataDxfId="39"/>
    <tableColumn id="2" xr3:uid="{584DEAFB-76D6-C647-A742-316CAAE5BC89}" name="מיקום בגג" dataDxfId="38"/>
    <tableColumn id="3" xr3:uid="{199A858B-5154-3C42-B14B-B655372B7E72}" name="תאור מוצר" dataDxfId="37"/>
    <tableColumn id="4" xr3:uid="{044A01A8-0D84-EB4C-A2F1-510AF1F79EC1}" name="אורך" dataDxfId="36"/>
    <tableColumn id="5" xr3:uid="{23494D31-1003-EC4A-B3E4-56115FE1DC9B}" name="כמות" dataDxfId="35"/>
    <tableColumn id="6" xr3:uid="{C3ADA01B-011E-AF49-B8EF-BF51E4952D25}" name="כמות: ק&quot;ג\יחידות" dataDxfId="34"/>
    <tableColumn id="7" xr3:uid="{A4F8123E-37EB-2544-80EC-813AFA9298EC}" name="מחיר ליחידה (₪)" dataDxfId="33"/>
    <tableColumn id="8" xr3:uid="{891F3848-661F-3446-A7E0-95642AC543B8}" name="סה&quot;כ מחיר (₪)" dataDxfId="32">
      <calculatedColumnFormula>pricing_table34[[#This Row],[מחיר ליחידה (₪)]]*pricing_table34[[#This Row],[כמות: ק"ג\יחידות]]</calculatedColumnFormula>
    </tableColumn>
    <tableColumn id="9" xr3:uid="{A50A1AEB-0486-8F4C-A4F6-1B417D72DF83}" name="*כמות פחת" dataDxfId="31" totalsRowDxfId="30"/>
    <tableColumn id="10" xr3:uid="{3B89E727-3B11-4A40-B717-5C248FA24D57}" name="סה&quot;כ מחיר כולל פחת (₪)" dataDxfId="29" totalsRowDxfId="28"/>
    <tableColumn id="11" xr3:uid="{981756E0-FF9F-014E-A803-EA2D248E751E}" name="*משקל בק&quot;ג" dataDxfId="27" totalsRowDxfId="26"/>
    <tableColumn id="12" xr3:uid="{DAD5CC53-679B-024A-96B0-9223C3E03988}" name="&gt;% Discount - Construction" dataDxfId="25"/>
    <tableColumn id="13" xr3:uid="{7498AF7D-E4AF-4D4F-A51C-BC365E54108A}" name="*סה&quot;כ מחיר כולל פחת אחרי הנחה (₪)" dataDxfId="24"/>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B96F5-D82A-B24D-8E16-7E74024E05A0}">
  <sheetPr codeName="Sheet5">
    <pageSetUpPr fitToPage="1"/>
  </sheetPr>
  <dimension ref="A1:T37"/>
  <sheetViews>
    <sheetView showGridLines="0" rightToLeft="1" tabSelected="1" view="pageBreakPreview" topLeftCell="G8" zoomScale="200" zoomScaleNormal="100" zoomScaleSheetLayoutView="169" workbookViewId="0">
      <selection activeCell="I19" sqref="I19"/>
    </sheetView>
  </sheetViews>
  <sheetFormatPr baseColWidth="10" defaultColWidth="9.1640625" defaultRowHeight="20" x14ac:dyDescent="0.2"/>
  <cols>
    <col min="1" max="1" width="2.5" style="3"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8" width="20.83203125" style="1" bestFit="1" customWidth="1"/>
    <col min="9" max="9" width="15" style="1" bestFit="1" customWidth="1"/>
    <col min="10" max="10" width="8.83203125" customWidth="1"/>
    <col min="11" max="11" width="25.6640625" style="3" bestFit="1" customWidth="1"/>
    <col min="12" max="12" width="16.1640625" style="3" bestFit="1" customWidth="1"/>
    <col min="13" max="13" width="28.5" style="3" bestFit="1" customWidth="1"/>
    <col min="14" max="14" width="35.83203125" style="3" bestFit="1" customWidth="1"/>
    <col min="15" max="16384" width="9.1640625" style="3"/>
  </cols>
  <sheetData>
    <row r="1" spans="2:14" x14ac:dyDescent="0.2">
      <c r="B1" s="1" t="s">
        <v>8</v>
      </c>
    </row>
    <row r="2" spans="2:14" x14ac:dyDescent="0.2">
      <c r="B2" s="1" t="s">
        <v>8</v>
      </c>
    </row>
    <row r="3" spans="2:14" x14ac:dyDescent="0.2">
      <c r="B3" s="1" t="s">
        <v>8</v>
      </c>
    </row>
    <row r="4" spans="2:14" ht="31" x14ac:dyDescent="0.2">
      <c r="B4" s="58" t="s">
        <v>9</v>
      </c>
      <c r="C4" s="58"/>
      <c r="D4" s="58"/>
      <c r="E4" s="58"/>
      <c r="F4" s="58"/>
      <c r="G4" s="58"/>
      <c r="H4" s="58"/>
      <c r="I4" s="58"/>
      <c r="K4" s="4"/>
      <c r="L4" s="4"/>
      <c r="M4" s="5"/>
      <c r="N4" s="6"/>
    </row>
    <row r="5" spans="2:14" ht="23" x14ac:dyDescent="0.2">
      <c r="B5" s="7"/>
      <c r="C5" s="7"/>
      <c r="D5" s="7"/>
      <c r="E5" s="7"/>
      <c r="F5" s="7"/>
      <c r="G5" s="7"/>
      <c r="H5" s="7"/>
      <c r="I5" s="7"/>
      <c r="K5" s="4"/>
      <c r="L5" s="4"/>
      <c r="M5" s="5"/>
      <c r="N5" s="6"/>
    </row>
    <row r="6" spans="2:14" ht="42" x14ac:dyDescent="0.2">
      <c r="B6" s="8" t="s">
        <v>10</v>
      </c>
      <c r="C6" s="9" t="s">
        <v>36</v>
      </c>
      <c r="H6" s="10" t="s">
        <v>11</v>
      </c>
      <c r="I6" s="9" t="s">
        <v>38</v>
      </c>
    </row>
    <row r="7" spans="2:14" ht="42" x14ac:dyDescent="0.2">
      <c r="B7" s="11" t="s">
        <v>12</v>
      </c>
      <c r="C7" s="9" t="s">
        <v>37</v>
      </c>
      <c r="H7" s="12"/>
      <c r="I7" s="9"/>
    </row>
    <row r="8" spans="2:14" ht="23" x14ac:dyDescent="0.2">
      <c r="B8" s="13"/>
      <c r="C8" s="13"/>
      <c r="D8" s="13"/>
      <c r="E8" s="13"/>
      <c r="F8" s="13"/>
      <c r="G8" s="13"/>
      <c r="H8" s="13"/>
      <c r="I8" s="13"/>
      <c r="K8" s="4"/>
      <c r="L8" s="4"/>
      <c r="M8" s="5"/>
      <c r="N8" s="6"/>
    </row>
    <row r="9" spans="2:14" ht="3.5" customHeight="1" x14ac:dyDescent="0.2">
      <c r="C9" s="14"/>
      <c r="K9" s="4"/>
      <c r="L9" s="4"/>
      <c r="M9" s="6"/>
      <c r="N9" s="6"/>
    </row>
    <row r="10" spans="2:14" s="18" customFormat="1" ht="17" customHeight="1" x14ac:dyDescent="0.2">
      <c r="B10" s="15" t="s">
        <v>0</v>
      </c>
      <c r="C10" s="15" t="s">
        <v>13</v>
      </c>
      <c r="D10" s="15" t="s">
        <v>14</v>
      </c>
      <c r="E10" s="16" t="s">
        <v>1</v>
      </c>
      <c r="F10" s="15" t="s">
        <v>2</v>
      </c>
      <c r="G10" s="15" t="s">
        <v>15</v>
      </c>
      <c r="H10" s="15" t="s">
        <v>16</v>
      </c>
      <c r="I10" s="15" t="s">
        <v>17</v>
      </c>
      <c r="J10" s="17" t="s">
        <v>3</v>
      </c>
      <c r="K10" s="17" t="s">
        <v>18</v>
      </c>
      <c r="L10" s="17" t="s">
        <v>4</v>
      </c>
      <c r="M10" s="17" t="s">
        <v>5</v>
      </c>
      <c r="N10" s="17" t="s">
        <v>6</v>
      </c>
    </row>
    <row r="11" spans="2:14" ht="17" customHeight="1" x14ac:dyDescent="0.25">
      <c r="B11" s="46" t="s">
        <v>39</v>
      </c>
      <c r="C11" s="19" t="s">
        <v>7</v>
      </c>
      <c r="D11" s="19"/>
      <c r="E11" s="20"/>
      <c r="F11" s="19"/>
      <c r="G11" s="20"/>
      <c r="H11" s="20"/>
      <c r="I11" s="20"/>
      <c r="J11" s="21"/>
      <c r="K11" s="22"/>
      <c r="L11" s="22"/>
      <c r="M11" s="22"/>
      <c r="N11" s="22"/>
    </row>
    <row r="12" spans="2:14" x14ac:dyDescent="0.2">
      <c r="H12" s="24" t="s">
        <v>19</v>
      </c>
      <c r="I12" s="25">
        <f>SUM(I11:I11)</f>
        <v>0</v>
      </c>
      <c r="J12" s="26">
        <f>SUM(J11:J11)</f>
        <v>0</v>
      </c>
      <c r="K12" s="27" t="s">
        <v>20</v>
      </c>
      <c r="L12" s="28">
        <f>SUM(L11:L11)</f>
        <v>0</v>
      </c>
      <c r="M12" s="3" t="s">
        <v>21</v>
      </c>
      <c r="N12" s="28">
        <f>SUM(N11:N11)</f>
        <v>0</v>
      </c>
    </row>
    <row r="13" spans="2:14" x14ac:dyDescent="0.2">
      <c r="H13" s="24" t="s">
        <v>21</v>
      </c>
      <c r="I13" s="25">
        <f>N12</f>
        <v>0</v>
      </c>
      <c r="J13" s="29"/>
      <c r="K13" s="27"/>
      <c r="L13" s="30"/>
      <c r="N13" s="30"/>
    </row>
    <row r="14" spans="2:14" x14ac:dyDescent="0.2">
      <c r="H14" s="23" t="s">
        <v>22</v>
      </c>
      <c r="I14" s="31">
        <f>I13*18%</f>
        <v>0</v>
      </c>
    </row>
    <row r="15" spans="2:14" x14ac:dyDescent="0.2">
      <c r="H15" s="32" t="s">
        <v>17</v>
      </c>
      <c r="I15" s="33">
        <f>I14+I13</f>
        <v>0</v>
      </c>
    </row>
    <row r="16" spans="2:14" x14ac:dyDescent="0.2">
      <c r="H16" s="32" t="s">
        <v>23</v>
      </c>
      <c r="I16" s="33">
        <f>L12</f>
        <v>0</v>
      </c>
    </row>
    <row r="17" spans="1:20" ht="17" customHeight="1" x14ac:dyDescent="0.2">
      <c r="A17" s="1"/>
      <c r="G17" s="3"/>
      <c r="H17" s="32" t="s">
        <v>41</v>
      </c>
      <c r="I17" s="52" t="s">
        <v>43</v>
      </c>
      <c r="J17" s="3"/>
    </row>
    <row r="18" spans="1:20" ht="17" customHeight="1" x14ac:dyDescent="0.2">
      <c r="A18" s="1"/>
      <c r="G18" s="3"/>
      <c r="H18" s="32" t="s">
        <v>42</v>
      </c>
      <c r="I18" s="52" t="s">
        <v>44</v>
      </c>
      <c r="J18" s="3"/>
    </row>
    <row r="19" spans="1:20" x14ac:dyDescent="0.2">
      <c r="B19" s="1" t="s">
        <v>8</v>
      </c>
    </row>
    <row r="20" spans="1:20" x14ac:dyDescent="0.2">
      <c r="B20" s="59" t="s">
        <v>24</v>
      </c>
      <c r="C20" s="59"/>
      <c r="D20" s="35" t="e">
        <f>EDATE(I6,1)</f>
        <v>#VALUE!</v>
      </c>
      <c r="F20" s="2" t="s">
        <v>25</v>
      </c>
      <c r="G20" s="1" t="s">
        <v>26</v>
      </c>
    </row>
    <row r="21" spans="1:20" x14ac:dyDescent="0.2">
      <c r="B21" s="34" t="s">
        <v>8</v>
      </c>
    </row>
    <row r="22" spans="1:20" x14ac:dyDescent="0.2">
      <c r="B22" s="60" t="s">
        <v>27</v>
      </c>
      <c r="C22" s="60"/>
      <c r="D22" s="60"/>
      <c r="E22" s="60"/>
      <c r="F22" s="60"/>
      <c r="G22" s="60"/>
      <c r="H22" s="60"/>
      <c r="I22" s="60"/>
    </row>
    <row r="23" spans="1:20" x14ac:dyDescent="0.2">
      <c r="B23" s="60" t="s">
        <v>28</v>
      </c>
      <c r="C23" s="60"/>
      <c r="D23" s="60"/>
      <c r="E23" s="60"/>
      <c r="F23" s="60"/>
      <c r="G23" s="60"/>
      <c r="H23" s="60"/>
      <c r="I23" s="60"/>
    </row>
    <row r="24" spans="1:20" x14ac:dyDescent="0.2">
      <c r="B24" s="60" t="s">
        <v>29</v>
      </c>
      <c r="C24" s="60"/>
      <c r="D24" s="60"/>
      <c r="E24" s="60"/>
      <c r="F24" s="60"/>
      <c r="G24" s="60"/>
      <c r="H24" s="60"/>
      <c r="I24" s="60"/>
    </row>
    <row r="25" spans="1:20" x14ac:dyDescent="0.2">
      <c r="B25" s="60" t="s">
        <v>30</v>
      </c>
      <c r="C25" s="60"/>
      <c r="D25" s="60"/>
      <c r="E25" s="60"/>
      <c r="F25" s="60"/>
      <c r="G25" s="60"/>
      <c r="H25" s="60"/>
      <c r="I25" s="60"/>
    </row>
    <row r="26" spans="1:20" ht="21" x14ac:dyDescent="0.2">
      <c r="B26" s="36" t="s">
        <v>8</v>
      </c>
    </row>
    <row r="27" spans="1:20" ht="21" x14ac:dyDescent="0.2">
      <c r="B27" s="36" t="s">
        <v>8</v>
      </c>
    </row>
    <row r="28" spans="1:20" x14ac:dyDescent="0.2">
      <c r="B28" s="34"/>
      <c r="H28" s="10" t="s">
        <v>31</v>
      </c>
    </row>
    <row r="29" spans="1:20" x14ac:dyDescent="0.2">
      <c r="B29" s="37"/>
      <c r="H29" s="10" t="s">
        <v>32</v>
      </c>
    </row>
    <row r="30" spans="1:20" customFormat="1" ht="74.25" customHeight="1" x14ac:dyDescent="0.2">
      <c r="A30" s="3"/>
      <c r="B30" s="37"/>
      <c r="C30" s="1"/>
      <c r="D30" s="1"/>
      <c r="E30" s="2"/>
      <c r="F30" s="1"/>
      <c r="G30" s="1"/>
      <c r="H30" s="10"/>
      <c r="I30" s="1"/>
      <c r="K30" s="3"/>
      <c r="L30" s="3"/>
      <c r="M30" s="3"/>
      <c r="N30" s="3"/>
      <c r="O30" s="3"/>
      <c r="P30" s="3"/>
      <c r="Q30" s="3"/>
      <c r="R30" s="3"/>
      <c r="S30" s="3"/>
      <c r="T30" s="3"/>
    </row>
    <row r="31" spans="1:20" customFormat="1" ht="16" x14ac:dyDescent="0.2">
      <c r="A31" s="3"/>
      <c r="B31" s="57"/>
      <c r="C31" s="57"/>
      <c r="D31" s="57"/>
      <c r="E31" s="57"/>
      <c r="F31" s="57"/>
      <c r="G31" s="57"/>
      <c r="H31" s="57"/>
      <c r="I31" s="57"/>
      <c r="K31" s="3"/>
      <c r="L31" s="3"/>
      <c r="M31" s="3"/>
      <c r="N31" s="3"/>
      <c r="O31" s="3"/>
      <c r="P31" s="3"/>
      <c r="Q31" s="3"/>
      <c r="R31" s="3"/>
      <c r="S31" s="3"/>
      <c r="T31" s="3"/>
    </row>
    <row r="32" spans="1:20" customFormat="1" x14ac:dyDescent="0.2">
      <c r="A32" s="3"/>
      <c r="B32" s="37"/>
      <c r="C32" s="1"/>
      <c r="D32" s="1"/>
      <c r="E32" s="2"/>
      <c r="F32" s="1"/>
      <c r="G32" s="1"/>
      <c r="H32" s="10"/>
      <c r="I32" s="1"/>
      <c r="K32" s="3"/>
      <c r="L32" s="3"/>
      <c r="M32" s="3"/>
      <c r="N32" s="3"/>
      <c r="O32" s="3"/>
      <c r="P32" s="3"/>
      <c r="Q32" s="3"/>
      <c r="R32" s="3"/>
      <c r="S32" s="3"/>
      <c r="T32" s="3"/>
    </row>
    <row r="35" spans="1:20" customFormat="1" x14ac:dyDescent="0.2">
      <c r="A35" s="3"/>
      <c r="B35" s="1"/>
      <c r="C35" s="53"/>
      <c r="D35" s="53"/>
      <c r="E35" s="53"/>
      <c r="F35" s="53"/>
      <c r="G35" s="53"/>
      <c r="H35" s="53"/>
      <c r="I35" s="53"/>
      <c r="K35" s="3"/>
      <c r="L35" s="3"/>
      <c r="M35" s="3"/>
      <c r="N35" s="3"/>
      <c r="O35" s="3"/>
      <c r="P35" s="3"/>
      <c r="Q35" s="3"/>
      <c r="R35" s="3"/>
      <c r="S35" s="3"/>
      <c r="T35" s="3"/>
    </row>
    <row r="36" spans="1:20" customFormat="1" x14ac:dyDescent="0.2">
      <c r="A36" s="3"/>
      <c r="B36" s="1"/>
      <c r="C36" s="53"/>
      <c r="D36" s="53"/>
      <c r="E36" s="53"/>
      <c r="F36" s="53"/>
      <c r="G36" s="53"/>
      <c r="H36" s="53"/>
      <c r="I36" s="1"/>
      <c r="K36" s="3"/>
      <c r="L36" s="3"/>
      <c r="M36" s="3"/>
      <c r="N36" s="3"/>
      <c r="O36" s="3"/>
      <c r="P36" s="3"/>
      <c r="Q36" s="3"/>
      <c r="R36" s="3"/>
      <c r="S36" s="3"/>
      <c r="T36" s="3"/>
    </row>
    <row r="37" spans="1:20" customFormat="1" x14ac:dyDescent="0.2">
      <c r="A37" s="3"/>
      <c r="B37" s="1"/>
      <c r="C37" s="53"/>
      <c r="D37" s="53"/>
      <c r="E37" s="53"/>
      <c r="F37" s="53"/>
      <c r="G37" s="53"/>
      <c r="H37" s="53"/>
      <c r="I37" s="1"/>
      <c r="K37" s="3"/>
      <c r="L37" s="3"/>
      <c r="M37" s="3"/>
      <c r="N37" s="3"/>
      <c r="O37" s="3"/>
      <c r="P37" s="3"/>
      <c r="Q37" s="3"/>
      <c r="R37" s="3"/>
      <c r="S37" s="3"/>
      <c r="T37" s="3"/>
    </row>
  </sheetData>
  <mergeCells count="10">
    <mergeCell ref="B31:I31"/>
    <mergeCell ref="C35:I35"/>
    <mergeCell ref="C36:H36"/>
    <mergeCell ref="C37:H37"/>
    <mergeCell ref="B4:I4"/>
    <mergeCell ref="B20:C20"/>
    <mergeCell ref="B22:I22"/>
    <mergeCell ref="B23:I23"/>
    <mergeCell ref="B24:I24"/>
    <mergeCell ref="B25:I25"/>
  </mergeCells>
  <printOptions horizontalCentered="1"/>
  <pageMargins left="3.937007874015748E-2" right="3.937007874015748E-2" top="0.39370078740157483" bottom="0.19685039370078741" header="0.39370078740157483" footer="0"/>
  <pageSetup paperSize="9" scale="73" orientation="portrait" r:id="rId1"/>
  <headerFooter>
    <oddHeader>&amp;C&amp;G</oddHeader>
    <oddFooter>&amp;C&amp;G</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0E4C-B69B-0D43-8027-B0FED1B9A8EC}">
  <sheetPr codeName="Sheet9">
    <pageSetUpPr fitToPage="1"/>
  </sheetPr>
  <dimension ref="A1:T27"/>
  <sheetViews>
    <sheetView showGridLines="0" rightToLeft="1" view="pageBreakPreview" topLeftCell="A5" zoomScale="132" zoomScaleNormal="100" zoomScaleSheetLayoutView="169" workbookViewId="0">
      <selection activeCell="L15" sqref="L15"/>
    </sheetView>
  </sheetViews>
  <sheetFormatPr baseColWidth="10" defaultColWidth="9.1640625" defaultRowHeight="20" x14ac:dyDescent="0.35"/>
  <cols>
    <col min="1" max="1" width="2.5" style="1"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hidden="1" customWidth="1"/>
    <col min="9" max="9" width="15" style="1" hidden="1" customWidth="1"/>
    <col min="10" max="10" width="8.83203125" style="38" hidden="1" customWidth="1"/>
    <col min="11" max="11" width="0" style="1" hidden="1" customWidth="1"/>
    <col min="12" max="12" width="15.83203125" style="1" bestFit="1" customWidth="1"/>
    <col min="13" max="16384" width="9.1640625" style="3"/>
  </cols>
  <sheetData>
    <row r="1" spans="1:14" x14ac:dyDescent="0.35">
      <c r="B1" s="1" t="s">
        <v>8</v>
      </c>
    </row>
    <row r="2" spans="1:14" x14ac:dyDescent="0.35">
      <c r="B2" s="1" t="s">
        <v>8</v>
      </c>
    </row>
    <row r="3" spans="1:14" x14ac:dyDescent="0.35">
      <c r="B3" s="1" t="s">
        <v>8</v>
      </c>
    </row>
    <row r="4" spans="1:14" ht="31" x14ac:dyDescent="0.2">
      <c r="B4" s="54" t="s">
        <v>33</v>
      </c>
      <c r="C4" s="54"/>
      <c r="D4" s="54"/>
      <c r="E4" s="54"/>
      <c r="F4" s="54"/>
      <c r="G4" s="54"/>
      <c r="H4" s="54"/>
      <c r="I4" s="54"/>
      <c r="J4" s="54"/>
      <c r="K4" s="54"/>
      <c r="L4" s="54"/>
      <c r="M4" s="5"/>
      <c r="N4" s="6"/>
    </row>
    <row r="5" spans="1:14" ht="23" x14ac:dyDescent="0.35">
      <c r="B5" s="7"/>
      <c r="C5" s="7"/>
      <c r="D5" s="7"/>
      <c r="E5" s="7"/>
      <c r="F5" s="7"/>
      <c r="G5" s="7"/>
      <c r="H5" s="13"/>
      <c r="I5" s="13"/>
      <c r="K5" s="39"/>
      <c r="L5" s="39"/>
      <c r="M5" s="5"/>
      <c r="N5" s="6"/>
    </row>
    <row r="6" spans="1:14" ht="42" x14ac:dyDescent="0.35">
      <c r="B6" s="8" t="s">
        <v>10</v>
      </c>
      <c r="C6" s="9" t="s">
        <v>36</v>
      </c>
      <c r="F6" s="10" t="s">
        <v>11</v>
      </c>
      <c r="G6" s="9" t="s">
        <v>38</v>
      </c>
      <c r="H6" s="38"/>
      <c r="J6" s="1"/>
    </row>
    <row r="7" spans="1:14" ht="42" x14ac:dyDescent="0.35">
      <c r="B7" s="11" t="s">
        <v>12</v>
      </c>
      <c r="C7" s="9" t="s">
        <v>37</v>
      </c>
      <c r="F7" s="12"/>
      <c r="G7" s="9"/>
      <c r="H7" s="38"/>
      <c r="J7" s="1"/>
    </row>
    <row r="8" spans="1:14" ht="23" x14ac:dyDescent="0.35">
      <c r="B8" s="13"/>
      <c r="C8" s="13"/>
      <c r="D8" s="13"/>
      <c r="E8" s="13"/>
      <c r="F8" s="13"/>
      <c r="G8" s="13"/>
      <c r="H8" s="13"/>
      <c r="I8" s="13"/>
      <c r="K8" s="39"/>
      <c r="L8" s="39"/>
      <c r="M8" s="5"/>
      <c r="N8" s="6"/>
    </row>
    <row r="9" spans="1:14" ht="3.5" customHeight="1" x14ac:dyDescent="0.35">
      <c r="C9" s="14"/>
      <c r="K9" s="39"/>
      <c r="L9" s="39"/>
      <c r="M9" s="6"/>
      <c r="N9" s="6"/>
    </row>
    <row r="10" spans="1:14" s="18" customFormat="1" ht="17" customHeight="1" x14ac:dyDescent="0.2">
      <c r="A10" s="40"/>
      <c r="B10" s="15" t="s">
        <v>0</v>
      </c>
      <c r="C10" s="15" t="s">
        <v>13</v>
      </c>
      <c r="D10" s="15" t="s">
        <v>14</v>
      </c>
      <c r="E10" s="16" t="s">
        <v>1</v>
      </c>
      <c r="F10" s="15" t="s">
        <v>2</v>
      </c>
      <c r="G10" s="15" t="s">
        <v>15</v>
      </c>
      <c r="H10" s="15" t="s">
        <v>16</v>
      </c>
      <c r="I10" s="15" t="s">
        <v>17</v>
      </c>
      <c r="J10" s="41" t="s">
        <v>3</v>
      </c>
      <c r="K10" s="41" t="s">
        <v>18</v>
      </c>
      <c r="L10" s="41" t="s">
        <v>4</v>
      </c>
      <c r="M10" s="17" t="s">
        <v>5</v>
      </c>
      <c r="N10" s="17" t="s">
        <v>6</v>
      </c>
    </row>
    <row r="11" spans="1:14" ht="17" customHeight="1" x14ac:dyDescent="0.25">
      <c r="B11" s="46" t="s">
        <v>40</v>
      </c>
      <c r="C11" s="19"/>
      <c r="D11" s="19"/>
      <c r="E11" s="20"/>
      <c r="F11" s="19"/>
      <c r="G11" s="20"/>
      <c r="H11" s="20"/>
      <c r="I11" s="20"/>
      <c r="J11" s="20"/>
      <c r="K11" s="42"/>
      <c r="L11" s="43"/>
      <c r="M11" s="43"/>
      <c r="N11" s="43"/>
    </row>
    <row r="12" spans="1:14" ht="17" customHeight="1" x14ac:dyDescent="0.2">
      <c r="G12" s="47" t="s">
        <v>23</v>
      </c>
      <c r="H12" s="48" t="s">
        <v>19</v>
      </c>
      <c r="I12" s="49">
        <f>SUM(I11:I11)</f>
        <v>0</v>
      </c>
      <c r="J12" s="49">
        <f>SUM(J11:J11)</f>
        <v>0</v>
      </c>
      <c r="K12" s="44" t="s">
        <v>20</v>
      </c>
      <c r="L12" s="50">
        <f>SUM(L11:L11)</f>
        <v>0</v>
      </c>
    </row>
    <row r="13" spans="1:14" ht="17" customHeight="1" x14ac:dyDescent="0.2">
      <c r="G13" s="32" t="s">
        <v>41</v>
      </c>
      <c r="H13" s="32"/>
      <c r="I13" s="51"/>
      <c r="J13" s="51"/>
      <c r="K13" s="32"/>
      <c r="L13" s="52" t="s">
        <v>43</v>
      </c>
    </row>
    <row r="14" spans="1:14" ht="17" customHeight="1" x14ac:dyDescent="0.2">
      <c r="G14" s="32" t="s">
        <v>42</v>
      </c>
      <c r="H14" s="32"/>
      <c r="I14" s="51"/>
      <c r="J14" s="51"/>
      <c r="K14" s="32"/>
      <c r="L14" s="52" t="s">
        <v>44</v>
      </c>
    </row>
    <row r="15" spans="1:14" ht="18" customHeight="1" x14ac:dyDescent="0.35">
      <c r="H15" s="23" t="s">
        <v>22</v>
      </c>
      <c r="I15" s="31">
        <f>I12*18%</f>
        <v>0</v>
      </c>
    </row>
    <row r="16" spans="1:14" ht="210.75" customHeight="1" x14ac:dyDescent="0.2">
      <c r="B16" s="55" t="s">
        <v>34</v>
      </c>
      <c r="C16" s="55"/>
      <c r="D16" s="55"/>
      <c r="E16" s="55"/>
      <c r="F16" s="55"/>
      <c r="G16" s="55"/>
      <c r="H16" s="55"/>
      <c r="I16" s="55"/>
      <c r="J16" s="55"/>
      <c r="K16" s="55"/>
      <c r="L16" s="55"/>
    </row>
    <row r="17" spans="1:20" x14ac:dyDescent="0.2">
      <c r="E17" s="1"/>
      <c r="F17" s="56" t="s">
        <v>35</v>
      </c>
      <c r="G17" s="56"/>
      <c r="J17" s="1"/>
    </row>
    <row r="18" spans="1:20" x14ac:dyDescent="0.2">
      <c r="B18" s="45"/>
      <c r="C18" s="45"/>
      <c r="D18" s="45"/>
      <c r="E18" s="45"/>
      <c r="F18" s="10"/>
      <c r="G18" s="45"/>
      <c r="H18" s="45"/>
      <c r="I18" s="45"/>
      <c r="J18" s="1"/>
    </row>
    <row r="19" spans="1:20" ht="78" customHeight="1" x14ac:dyDescent="0.2">
      <c r="B19" s="37"/>
      <c r="E19" s="1"/>
      <c r="F19" s="10"/>
      <c r="J19" s="1"/>
    </row>
    <row r="20" spans="1:20" customFormat="1" x14ac:dyDescent="0.35">
      <c r="A20" s="38"/>
      <c r="B20" s="37"/>
      <c r="C20" s="1"/>
      <c r="D20" s="1"/>
      <c r="E20" s="2"/>
      <c r="F20" s="1"/>
      <c r="G20" s="1"/>
      <c r="H20" s="10"/>
      <c r="I20" s="1"/>
      <c r="J20" s="38"/>
      <c r="K20" s="1"/>
      <c r="L20" s="1"/>
      <c r="M20" s="3"/>
      <c r="N20" s="3"/>
      <c r="O20" s="3"/>
      <c r="P20" s="3"/>
      <c r="Q20" s="3"/>
      <c r="R20" s="3"/>
      <c r="S20" s="3"/>
      <c r="T20" s="3"/>
    </row>
    <row r="21" spans="1:20" customFormat="1" x14ac:dyDescent="0.35">
      <c r="A21" s="38"/>
      <c r="B21" s="57"/>
      <c r="C21" s="57"/>
      <c r="D21" s="57"/>
      <c r="E21" s="57"/>
      <c r="F21" s="57"/>
      <c r="G21" s="57"/>
      <c r="H21" s="57"/>
      <c r="I21" s="57"/>
      <c r="J21" s="38"/>
      <c r="K21" s="1"/>
      <c r="L21" s="1"/>
      <c r="M21" s="3"/>
      <c r="N21" s="3"/>
      <c r="O21" s="3"/>
      <c r="P21" s="3"/>
      <c r="Q21" s="3"/>
      <c r="R21" s="3"/>
      <c r="S21" s="3"/>
      <c r="T21" s="3"/>
    </row>
    <row r="22" spans="1:20" customFormat="1" x14ac:dyDescent="0.35">
      <c r="A22" s="38"/>
      <c r="B22" s="37"/>
      <c r="C22" s="1"/>
      <c r="D22" s="1"/>
      <c r="E22" s="2"/>
      <c r="F22" s="1"/>
      <c r="G22" s="1"/>
      <c r="H22" s="10"/>
      <c r="I22" s="1"/>
      <c r="J22" s="38"/>
      <c r="K22" s="1"/>
      <c r="L22" s="1"/>
      <c r="M22" s="3"/>
      <c r="N22" s="3"/>
      <c r="O22" s="3"/>
      <c r="P22" s="3"/>
      <c r="Q22" s="3"/>
      <c r="R22" s="3"/>
      <c r="S22" s="3"/>
      <c r="T22" s="3"/>
    </row>
    <row r="25" spans="1:20" customFormat="1" x14ac:dyDescent="0.35">
      <c r="A25" s="38"/>
      <c r="B25" s="1"/>
      <c r="C25" s="53"/>
      <c r="D25" s="53"/>
      <c r="E25" s="53"/>
      <c r="F25" s="53"/>
      <c r="G25" s="53"/>
      <c r="H25" s="53"/>
      <c r="I25" s="53"/>
      <c r="J25" s="38"/>
      <c r="K25" s="1"/>
      <c r="L25" s="1"/>
      <c r="M25" s="3"/>
      <c r="N25" s="3"/>
      <c r="O25" s="3"/>
      <c r="P25" s="3"/>
      <c r="Q25" s="3"/>
      <c r="R25" s="3"/>
      <c r="S25" s="3"/>
      <c r="T25" s="3"/>
    </row>
    <row r="26" spans="1:20" customFormat="1" x14ac:dyDescent="0.35">
      <c r="A26" s="38"/>
      <c r="B26" s="1"/>
      <c r="C26" s="53"/>
      <c r="D26" s="53"/>
      <c r="E26" s="53"/>
      <c r="F26" s="53"/>
      <c r="G26" s="53"/>
      <c r="H26" s="53"/>
      <c r="I26" s="1"/>
      <c r="J26" s="38"/>
      <c r="K26" s="1"/>
      <c r="L26" s="1"/>
      <c r="M26" s="3"/>
      <c r="N26" s="3"/>
      <c r="O26" s="3"/>
      <c r="P26" s="3"/>
      <c r="Q26" s="3"/>
      <c r="R26" s="3"/>
      <c r="S26" s="3"/>
      <c r="T26" s="3"/>
    </row>
    <row r="27" spans="1:20" customFormat="1" x14ac:dyDescent="0.35">
      <c r="A27" s="38"/>
      <c r="B27" s="1"/>
      <c r="C27" s="53"/>
      <c r="D27" s="53"/>
      <c r="E27" s="53"/>
      <c r="F27" s="53"/>
      <c r="G27" s="53"/>
      <c r="H27" s="53"/>
      <c r="I27" s="1"/>
      <c r="J27" s="38"/>
      <c r="K27" s="1"/>
      <c r="L27" s="1"/>
      <c r="M27" s="3"/>
      <c r="N27" s="3"/>
      <c r="O27" s="3"/>
      <c r="P27" s="3"/>
      <c r="Q27" s="3"/>
      <c r="R27" s="3"/>
      <c r="S27" s="3"/>
      <c r="T27" s="3"/>
    </row>
  </sheetData>
  <mergeCells count="7">
    <mergeCell ref="C27:H27"/>
    <mergeCell ref="B4:L4"/>
    <mergeCell ref="B16:L16"/>
    <mergeCell ref="F17:G17"/>
    <mergeCell ref="B21:I21"/>
    <mergeCell ref="C25:I25"/>
    <mergeCell ref="C26:H26"/>
  </mergeCells>
  <phoneticPr fontId="19" type="noConversion"/>
  <printOptions horizontalCentered="1"/>
  <pageMargins left="3.937007874015748E-2" right="3.937007874015748E-2" top="0.39370078740157483" bottom="0.19685039370078741" header="0.39370078740157483" footer="0"/>
  <pageSetup paperSize="9" scale="86" orientation="portrait" r:id="rId1"/>
  <headerFooter>
    <oddHeader>&amp;C&amp;G</oddHeader>
    <oddFooter>&amp;C&amp;G</oddFooter>
  </headerFooter>
  <legacyDrawingHF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pricing</vt:lpstr>
      <vt:lpstr>quantities</vt:lpstr>
      <vt:lpstr>pricing!Print_Area</vt:lpstr>
      <vt:lpstr>quantities!Print_Area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2026-05-05T16:03:59Z</dcterms:created>
  <dcterms:modified xsi:type="dcterms:W3CDTF">2026-05-10T06:03:43Z</dcterms:modified>
</cp:coreProperties>
</file>