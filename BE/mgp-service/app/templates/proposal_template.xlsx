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filterPrivacy="1" codeName="ThisWorkbook"/>
  <xr:revisionPtr revIDLastSave="0" documentId="13_ncr:1_{B5A6DDC3-89D5-364A-ADEE-326CDD5EB49F}" xr6:coauthVersionLast="47" xr6:coauthVersionMax="47" xr10:uidLastSave="{00000000-0000-0000-0000-000000000000}"/>
  <bookViews>
    <workbookView xWindow="0" yWindow="660" windowWidth="34560" windowHeight="19720" xr2:uid="{00000000-000D-0000-FFFF-FFFF00000000}"/>
  </bookViews>
  <sheets>
    <sheet name="pricing" sheetId="2" r:id="rId1"/>
    <sheet name="quantities" sheetId="3" r:id="rId2"/>
  </sheets>
  <externalReferences>
    <externalReference r:id="rId3"/>
  </externalReferences>
  <definedNames>
    <definedName name="CLIENT">[1]ראשי!#REF!</definedName>
    <definedName name="CLIENT_NAME">[1]ראשי!#REF!</definedName>
    <definedName name="OFFER_DATE">[1]ראשי!#REF!</definedName>
    <definedName name="OFFER_VALID_TO">[1]ראשי!#REF!</definedName>
    <definedName name="_xlnm.Print_Area" localSheetId="0">pricing!$A$1:$I$30</definedName>
    <definedName name="_xlnm.Print_Area" localSheetId="1">quantities!$A$1:$L$19</definedName>
    <definedName name="prOJECT_NAME">[1]ראשי!#REF!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 l="1"/>
  <c r="L12" i="3"/>
  <c r="J12" i="3"/>
  <c r="I12" i="3" s="1"/>
  <c r="I15" i="3" s="1"/>
  <c r="N12" i="2"/>
  <c r="I13" i="2" s="1"/>
  <c r="I14" i="2" s="1"/>
  <c r="I15" i="2" s="1"/>
  <c r="L12" i="2"/>
  <c r="I16" i="2" s="1"/>
  <c r="J12" i="2"/>
  <c r="I12" i="2" s="1"/>
</calcChain>
</file>

<file path=xl/sharedStrings.xml><?xml version="1.0" encoding="utf-8"?>
<sst xmlns="http://schemas.openxmlformats.org/spreadsheetml/2006/main" count="83" uniqueCount="45">
  <si>
    <t>שורה</t>
  </si>
  <si>
    <t>אורך</t>
  </si>
  <si>
    <t>כמות</t>
  </si>
  <si>
    <t>*כמות פחת</t>
  </si>
  <si>
    <t>*משקל בק"ג</t>
  </si>
  <si>
    <t>&gt;% Discount - Construction</t>
  </si>
  <si>
    <t>*סה"כ מחיר כולל פחת אחרי הנחה (₪)</t>
  </si>
  <si>
    <t/>
  </si>
  <si>
    <t xml:space="preserve">   </t>
  </si>
  <si>
    <t>הצעת מחיר – קונסטרוקציה</t>
  </si>
  <si>
    <t>שם לקוח:</t>
  </si>
  <si>
    <t>תאריך:</t>
  </si>
  <si>
    <t xml:space="preserve">שם פרויקט: </t>
  </si>
  <si>
    <t>מיקום בגג</t>
  </si>
  <si>
    <t>תאור מוצר</t>
  </si>
  <si>
    <t>כמות: ק"ג\יחידות</t>
  </si>
  <si>
    <t>מחיר ליחידה (₪)</t>
  </si>
  <si>
    <t>סה"כ מחיר (₪)</t>
  </si>
  <si>
    <t>סה"כ מחיר כולל פחת (₪)</t>
  </si>
  <si>
    <t>מחיר</t>
  </si>
  <si>
    <t>סה"כ משקל</t>
  </si>
  <si>
    <t>מחיר אחרי הנחה</t>
  </si>
  <si>
    <t>מע"מ (18%)</t>
  </si>
  <si>
    <t>סה"כ משקל (ק"ג)</t>
  </si>
  <si>
    <t>תוקף ההצעה עד:</t>
  </si>
  <si>
    <t>תנאי תשלום:</t>
  </si>
  <si>
    <t>מזומן</t>
  </si>
  <si>
    <t>תכנון הקונסטרוקציה ופריסת המערכת ע"י שדות אנרגיה מתחדשת בע"מ ו\או מי מטעמה (להלן: "שדות אנרגיה"), הינם בגדר הצעה בלבד, והם מבוצעים בהתאם לדרישת המזמין, על בסיס נתונים שנמסרו על ידי המזמין (ושלא נבדקו על ידי שדות אנרגיה).</t>
  </si>
  <si>
    <t>באחריות המזמין בלבד, להעביר את תוכניות הקונסטרוקציה לבדיקה ואישור של מהנדס בניין ולפקח על ביצוע טיב עבודת ההתקנה על ידי איש המוסמך לכך.</t>
  </si>
  <si>
    <t>שדות אנרגיה איננה ולא תהיה אחראית כלפי המזמין ו\או כל צד ג' שהוא, לכל נזק מכל סוג הקשור ו\או נובע, במישרין או בעקיפין, מהתכנון ו\או הפריסה שהוצעו על ידה, המזמין מוותר במפורש על כל טענה ו\או דרישה בעניין זה כלפי שדות אנרגיה.</t>
  </si>
  <si>
    <t>אישור הצעת המחיר בכתב, בעל פה או בכל אמצעי אחר ו\או ביצוע עסקה בפועל, מהווה אישור והסכמה לאמור לעיל.</t>
  </si>
  <si>
    <t>בברכה,</t>
  </si>
  <si>
    <t>צוות שדות אנרגיה</t>
  </si>
  <si>
    <t>כתב כמויות</t>
  </si>
  <si>
    <t>תכנון הקונסטרוקציה ופריסת המערכת ע"י שדות אנרגיה מתחדשת בע"מ ו\או מי מטעמה (להלן: "שדות אנרגיה"), הינם
בגדר הצעה בלבד, והם מבוצעים בהתאם לדרישת המזמין, על בסיס נתונים שנמסרו על ידי המזמין (ושלא נבדקו על ידי
שדות אנרגיה).
באחריות המזמין בלבד, להעביר את תוכניות הקונסטרוקציה לבדיקה ואישור של מהנדס בניין ולפקח על ביצוע טיב עבודת
ההתקנה על ידי איש המוסמך לכך.
שדות אנרגיה איננה ולא תהיה אחראית כלפי המזמין ו\או כל צד ג' שהוא, לכל נזק מכל סוג הקשור ו\או נובע, במישרין או
בעקיפין, מהתכנון ו\או הפריסה שהוצעו על ידה, המזמין מוותר במפורש על כל טענה ו\או דרישה בעניין זה כלפי שדות
אנרגיה.
אישור הצעת המחיר בכתב, בעל פה או בכל אמצעי אחר ו\או ביצוע עסקה בפועל, מהווה אישור והסכמה לאמור לעיל.</t>
  </si>
  <si>
    <t>בברכה, צוות שדות אנרגיה</t>
  </si>
  <si>
    <t>CUSTOMER_NAME</t>
  </si>
  <si>
    <t>PROJECT_NAME</t>
  </si>
  <si>
    <t>PROPOSAL_DATE</t>
  </si>
  <si>
    <t>PRICE_TABLE_DATA_ROW</t>
  </si>
  <si>
    <t>QTY_TABLE_DATA_ROW</t>
  </si>
  <si>
    <t>משקל אבנים (ק"ג)</t>
  </si>
  <si>
    <t>משקל אלומיניום (ק"ג)</t>
  </si>
  <si>
    <t>BLOCKS_WEIGHT</t>
  </si>
  <si>
    <t>ALUMINIUM_WEIGHT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</si>
</sst>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21" x14ac:knownFonts="1">
    <font>
      <sz val="11"/>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color theme="1"/>
      <name val="Heebo"/>
    </font>
    <font>
      <sz val="20"/>
      <color theme="1"/>
      <name val="Heebo"/>
    </font>
    <font>
      <sz val="12"/>
      <color rgb="FF2B2D2F"/>
      <name val="Calibri"/>
      <family val="2"/>
      <scheme val="minor"/>
    </font>
    <font>
      <b/>
      <u/>
      <sz val="14"/>
      <color theme="1"/>
      <name val="Heebo"/>
    </font>
    <font>
      <b/>
      <sz val="12"/>
      <color theme="1"/>
      <name val="Heebo"/>
    </font>
    <font>
      <b/>
      <u/>
      <sz val="12"/>
      <color theme="1"/>
      <name val="Heebo"/>
    </font>
    <font>
      <sz val="12"/>
      <color theme="0"/>
      <name val="Heebo"/>
    </font>
    <font>
      <sz val="11"/>
      <color theme="1"/>
      <name val="Heebo"/>
    </font>
    <font>
      <sz val="12"/>
      <color rgb="FF000000"/>
      <name val="Calibri"/>
      <family val="2"/>
    </font>
    <font>
      <b/>
      <sz val="11"/>
      <color theme="1"/>
      <name val="Calibri"/>
      <family val="2"/>
      <scheme val="minor"/>
    </font>
    <font>
      <sz val="10"/>
      <color rgb="FF272E2F"/>
      <name val="Heebo"/>
    </font>
    <font>
      <b/>
      <sz val="20"/>
      <color theme="1"/>
      <name val="Heebo"/>
    </font>
    <font>
      <sz val="12"/>
      <color rgb="FF000000"/>
      <name val="Heebo"/>
    </font>
    <font>
      <b/>
      <sz val="11"/>
      <color theme="1"/>
      <name val="Heebo"/>
    </font>
    <font>
      <sz val="8"/>
      <name val="Calibri"/>
      <family val="2"/>
      <scheme val="minor"/>
    </font>
    <font>
      <sz val="12"/>
      <color rgb="FF8C8C8C"/>
      <name val="Courier New"/>
      <family val="1"/>
    </font>
  </fonts>
  <fills count="3">
    <fill>
      <patternFill patternType="none"/>
    </fill>
    <fill>
      <patternFill patternType="gray125"/>
    </fill>
    <fill>
      <patternFill patternType="solid">
        <fgColor rgb="FF272E2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164" fontId="2" fillId="0" borderId="0" applyFont="0" applyFill="0" applyBorder="0" applyAlignment="0" applyProtection="0"/>
  </cellStyleXfs>
  <cellXfs count="61">
    <xf numFmtId="0" fontId="0" fillId="0" borderId="0" xfId="0"/>
    <xf numFmtId="0" fontId="5" fillId="0" borderId="0" xfId="0" applyFont="1" applyAlignment="1">
      <alignment horizontal="center" vertical="center"/>
    </xf>
    <xf numFmtId="4" fontId="5"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readingOrder="2"/>
    </xf>
    <xf numFmtId="0" fontId="7" fillId="0" borderId="0" xfId="0" applyFont="1" applyAlignment="1">
      <alignment horizontal="right" vertical="center" wrapText="1" readingOrder="2"/>
    </xf>
    <xf numFmtId="0" fontId="1" fillId="0" borderId="0" xfId="0" applyFont="1" applyAlignment="1">
      <alignment horizontal="right" vertical="center" wrapText="1" readingOrder="2"/>
    </xf>
    <xf numFmtId="0" fontId="8" fillId="0" borderId="0" xfId="0" applyFont="1" applyAlignment="1">
      <alignment horizontal="center" vertical="center" readingOrder="2"/>
    </xf>
    <xf numFmtId="0" fontId="5" fillId="0" borderId="0" xfId="0" applyFont="1" applyAlignment="1">
      <alignment horizontal="right" vertical="center" wrapText="1" readingOrder="2"/>
    </xf>
    <xf numFmtId="0" fontId="9" fillId="0" borderId="0" xfId="0" applyFont="1" applyAlignment="1">
      <alignment horizontal="right" vertical="center" wrapText="1" readingOrder="2"/>
    </xf>
    <xf numFmtId="0" fontId="5" fillId="0" borderId="0" xfId="0" applyFont="1" applyAlignment="1">
      <alignment horizontal="right" vertical="center"/>
    </xf>
    <xf numFmtId="0" fontId="5" fillId="0" borderId="0" xfId="0" applyFont="1" applyAlignment="1">
      <alignment vertical="center" wrapText="1" readingOrder="2"/>
    </xf>
    <xf numFmtId="0" fontId="9" fillId="0" borderId="0" xfId="0" applyFont="1" applyAlignment="1">
      <alignment vertical="center" wrapText="1" readingOrder="2"/>
    </xf>
    <xf numFmtId="0" fontId="8" fillId="0" borderId="0" xfId="0" applyFont="1" applyAlignment="1">
      <alignment vertical="center" readingOrder="2"/>
    </xf>
    <xf numFmtId="0" fontId="10" fillId="0" borderId="0" xfId="0" applyFont="1" applyAlignment="1">
      <alignment horizontal="center" vertical="center" readingOrder="2"/>
    </xf>
    <xf numFmtId="0" fontId="11" fillId="2" borderId="1" xfId="0" applyFont="1" applyFill="1" applyBorder="1" applyAlignment="1">
      <alignment horizontal="center" vertical="center"/>
    </xf>
    <xf numFmtId="4" fontId="11" fillId="2" borderId="1"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horizontal="center" vertical="center"/>
    </xf>
    <xf numFmtId="0" fontId="12" fillId="0" borderId="0" xfId="0" applyFont="1" applyAlignment="1">
      <alignment horizontal="center" vertical="center"/>
    </xf>
    <xf numFmtId="4" fontId="12" fillId="0" borderId="0" xfId="0" applyNumberFormat="1" applyFont="1" applyAlignment="1">
      <alignment horizontal="center" vertical="center"/>
    </xf>
    <xf numFmtId="4" fontId="0" fillId="0" borderId="0" xfId="0" applyNumberFormat="1" applyAlignment="1">
      <alignment horizontal="center" vertical="center"/>
    </xf>
    <xf numFmtId="4" fontId="13" fillId="0" borderId="0" xfId="0" applyNumberFormat="1" applyFont="1" applyAlignment="1">
      <alignment horizontal="center" vertical="center"/>
    </xf>
    <xf numFmtId="0" fontId="5" fillId="0" borderId="1" xfId="0" applyFont="1" applyBorder="1" applyAlignment="1">
      <alignment horizontal="center" vertical="center"/>
    </xf>
    <xf numFmtId="0" fontId="9" fillId="0" borderId="3" xfId="0" applyFont="1" applyBorder="1" applyAlignment="1">
      <alignment horizontal="center" vertical="center"/>
    </xf>
    <xf numFmtId="165" fontId="12" fillId="0" borderId="3" xfId="0" applyNumberFormat="1" applyFont="1" applyBorder="1" applyAlignment="1">
      <alignment horizontal="center" vertical="center"/>
    </xf>
    <xf numFmtId="165" fontId="0" fillId="0" borderId="3" xfId="0" applyNumberFormat="1" applyBorder="1" applyAlignment="1">
      <alignment horizontal="center" vertical="center"/>
    </xf>
    <xf numFmtId="0" fontId="3" fillId="0" borderId="0" xfId="0" applyFont="1" applyAlignment="1">
      <alignment horizontal="center" vertical="center"/>
    </xf>
    <xf numFmtId="165" fontId="14" fillId="0" borderId="3" xfId="0" applyNumberFormat="1" applyFont="1" applyBorder="1" applyAlignment="1">
      <alignment horizontal="center" vertical="center"/>
    </xf>
    <xf numFmtId="165" fontId="0" fillId="0" borderId="0" xfId="0" applyNumberFormat="1" applyAlignment="1">
      <alignment horizontal="center" vertical="center"/>
    </xf>
    <xf numFmtId="165" fontId="14" fillId="0" borderId="0" xfId="0" applyNumberFormat="1" applyFont="1" applyAlignment="1">
      <alignment horizontal="center" vertical="center"/>
    </xf>
    <xf numFmtId="164" fontId="5" fillId="0" borderId="1" xfId="0" applyNumberFormat="1" applyFont="1" applyBorder="1" applyAlignment="1">
      <alignment horizontal="center" vertical="center"/>
    </xf>
    <xf numFmtId="0" fontId="9" fillId="0" borderId="1" xfId="0" applyFont="1" applyBorder="1" applyAlignment="1">
      <alignment horizontal="center" vertical="center"/>
    </xf>
    <xf numFmtId="165" fontId="9" fillId="0" borderId="1" xfId="0" applyNumberFormat="1" applyFont="1" applyBorder="1" applyAlignment="1">
      <alignment horizontal="center" vertical="center"/>
    </xf>
    <xf numFmtId="0" fontId="5" fillId="0" borderId="0" xfId="0" applyFont="1" applyAlignment="1">
      <alignment horizontal="right" vertical="center" readingOrder="2"/>
    </xf>
    <xf numFmtId="14" fontId="5" fillId="0" borderId="0" xfId="0" applyNumberFormat="1" applyFont="1" applyAlignment="1">
      <alignment vertical="center" wrapText="1" readingOrder="2"/>
    </xf>
    <xf numFmtId="0" fontId="5" fillId="0" borderId="0" xfId="0" applyFont="1" applyAlignment="1">
      <alignment horizontal="justify" vertical="center" readingOrder="2"/>
    </xf>
    <xf numFmtId="0" fontId="5" fillId="0" borderId="0" xfId="0" applyFont="1" applyAlignment="1">
      <alignment horizontal="left" vertical="center" readingOrder="2"/>
    </xf>
    <xf numFmtId="0" fontId="12" fillId="0" borderId="0" xfId="0" applyFont="1"/>
    <xf numFmtId="0" fontId="5" fillId="0" borderId="0" xfId="0" applyFont="1" applyAlignment="1">
      <alignment horizontal="left" vertical="center" wrapText="1" readingOrder="2"/>
    </xf>
    <xf numFmtId="0" fontId="11" fillId="0" borderId="0" xfId="0" applyFont="1" applyAlignment="1">
      <alignment horizontal="center" vertical="center"/>
    </xf>
    <xf numFmtId="0" fontId="11" fillId="2" borderId="2" xfId="0" applyFont="1" applyFill="1" applyBorder="1" applyAlignment="1">
      <alignment horizontal="center" vertical="center"/>
    </xf>
    <xf numFmtId="4" fontId="17" fillId="0" borderId="0" xfId="0" applyNumberFormat="1" applyFont="1" applyAlignment="1">
      <alignment horizontal="center" vertical="center"/>
    </xf>
    <xf numFmtId="0" fontId="17" fillId="0" borderId="0" xfId="0" applyFont="1" applyAlignment="1">
      <alignment horizontal="center" vertical="center"/>
    </xf>
    <xf numFmtId="0" fontId="9" fillId="0" borderId="0" xfId="0" applyFont="1" applyAlignment="1">
      <alignment horizontal="center" vertical="center"/>
    </xf>
    <xf numFmtId="0" fontId="15" fillId="0" borderId="0" xfId="0" applyFont="1" applyAlignment="1">
      <alignment vertical="center" readingOrder="2"/>
    </xf>
    <xf numFmtId="0" fontId="20" fillId="0" borderId="0" xfId="0" applyFont="1"/>
    <xf numFmtId="0" fontId="9" fillId="0" borderId="4" xfId="0" applyFont="1" applyBorder="1" applyAlignment="1">
      <alignment horizontal="center" vertical="center"/>
    </xf>
    <xf numFmtId="0" fontId="9" fillId="0" borderId="5" xfId="0" applyFont="1" applyBorder="1" applyAlignment="1">
      <alignment horizontal="center" vertical="center"/>
    </xf>
    <xf numFmtId="165" fontId="12" fillId="0" borderId="5" xfId="0" applyNumberFormat="1" applyFont="1" applyBorder="1" applyAlignment="1">
      <alignment horizontal="center" vertical="center"/>
    </xf>
    <xf numFmtId="165" fontId="18" fillId="0" borderId="5" xfId="0" applyNumberFormat="1" applyFont="1" applyBorder="1" applyAlignment="1">
      <alignment horizontal="center" vertical="center"/>
    </xf>
    <xf numFmtId="165" fontId="12" fillId="0" borderId="1" xfId="0" applyNumberFormat="1" applyFont="1" applyBorder="1" applyAlignment="1">
      <alignment horizontal="center" vertical="center"/>
    </xf>
    <xf numFmtId="165" fontId="18" fillId="0" borderId="1" xfId="0" applyNumberFormat="1" applyFont="1" applyBorder="1" applyAlignment="1">
      <alignment horizontal="center" vertical="center"/>
    </xf>
    <xf numFmtId="0" fontId="5" fillId="0" borderId="0" xfId="0" applyFont="1" applyAlignment="1">
      <alignment horizontal="right" vertical="center"/>
    </xf>
    <xf numFmtId="0" fontId="16" fillId="0" borderId="0" xfId="0" applyFont="1" applyAlignment="1">
      <alignment horizontal="center" vertical="center" readingOrder="2"/>
    </xf>
    <xf numFmtId="0" fontId="5" fillId="0" borderId="0" xfId="0" applyFont="1" applyAlignment="1">
      <alignment horizontal="right" vertical="top" wrapText="1"/>
    </xf>
    <xf numFmtId="0" fontId="5" fillId="0" borderId="0" xfId="0" applyFont="1" applyAlignment="1">
      <alignment horizontal="center" vertical="center"/>
    </xf>
    <xf numFmtId="0" fontId="15" fillId="0" borderId="0" xfId="0" applyFont="1" applyAlignment="1">
      <alignment horizontal="center" vertical="center" readingOrder="2"/>
    </xf>
    <xf numFmtId="0" fontId="6" fillId="0" borderId="0" xfId="0" applyFont="1" applyAlignment="1">
      <alignment horizontal="center" vertical="center" readingOrder="2"/>
    </xf>
    <xf numFmtId="0" fontId="5" fillId="0" borderId="0" xfId="0" applyFont="1" applyAlignment="1">
      <alignment horizontal="right" vertical="center" readingOrder="2"/>
    </xf>
    <xf numFmtId="0" fontId="5" fillId="0" borderId="0" xfId="0" applyFont="1" applyAlignment="1">
      <alignment horizontal="right" vertical="center" wrapText="1" readingOrder="2"/>
    </xf>
  </cellXfs>
  <cellStyles count="2">
    <cellStyle name="Comma 2" xfId="1" xr:uid="{8B711F14-12F9-DB46-A59C-2DE7D2614634}"/>
    <cellStyle name="Normal" xfId="0" builtinId="0"/>
  </cellStyles>
  <dxfs count="46">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Heebo"/>
        <scheme val="none"/>
      </font>
      <border diagonalUp="0" diagonalDown="0" outline="0">
        <left style="thin">
          <color indexed="64"/>
        </left>
        <right style="thin">
          <color indexed="64"/>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2"/>
        <color theme="0"/>
        <name val="Calibri"/>
        <family val="2"/>
        <scheme val="minor"/>
      </font>
      <fill>
        <patternFill patternType="solid">
          <fgColor indexed="64"/>
          <bgColor rgb="FF272E2F"/>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Heebo"/>
        <scheme val="none"/>
      </font>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numFmt numFmtId="4"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Heebo"/>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Heebo"/>
        <scheme val="none"/>
      </font>
      <border diagonalUp="0" diagonalDown="0" outline="0">
        <left style="thin">
          <color indexed="64"/>
        </left>
        <right style="thin">
          <color indexed="64"/>
        </right>
        <top style="thin">
          <color indexed="64"/>
        </top>
        <bottom style="thin">
          <color indexed="64"/>
        </bottom>
      </border>
    </dxf>
    <dxf>
      <border>
        <top style="thin">
          <color rgb="FF000000"/>
        </top>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Heebo"/>
        <scheme val="none"/>
      </font>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2"/>
        <color theme="0"/>
        <name val="Heebo"/>
        <scheme val="none"/>
      </font>
      <fill>
        <patternFill patternType="solid">
          <fgColor indexed="64"/>
          <bgColor rgb="FF272E2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Construction%20Assistant%20v5.1.xlsm" TargetMode="External"/><Relationship Id="rId2" Type="http://schemas.openxmlformats.org/officeDocument/2006/relationships/externalLinkPath" Target="/Users/revitalkremer/Downloads/Construction%20Assistant%20v5.1.xlsm" TargetMode="External"/><Relationship Id="rId1" Type="http://schemas.openxmlformats.org/officeDocument/2006/relationships/externalLinkPath" Target="/Users/revitalkremer/Downloads/Construction%20Assistant%20v5.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ראשי"/>
      <sheetName val="MondayImport"/>
      <sheetName val="pricing"/>
      <sheetName val="quantitie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CB1EC1-21C6-AF40-A140-308C9117B91F}" name="pricing_table25" displayName="pricing_table25" ref="B10:N11" totalsRowShown="0" headerRowDxfId="23" dataDxfId="21" totalsRowDxfId="19" headerRowBorderDxfId="22" tableBorderDxfId="20" totalsRowBorderDxfId="18">
  <autoFilter ref="B10:N11" xr:uid="{A700047D-2A12-4A24-87A3-5C54C0CD36D6}"/>
  <tableColumns count="13">
    <tableColumn id="1" xr3:uid="{9715C0F5-6C58-0C48-A92D-3904FFEE1286}" name="שורה" dataDxfId="17"/>
    <tableColumn id="2" xr3:uid="{E71665ED-EE05-B544-8402-B3336F34DA2C}" name="מיקום בגג" dataDxfId="16"/>
    <tableColumn id="3" xr3:uid="{58C96AFC-B01E-D446-8E2A-ACF7B2497559}" name="תאור מוצר" dataDxfId="15"/>
    <tableColumn id="4" xr3:uid="{D9DC81BB-9F60-0047-86B9-14278D4E2EE7}" name="אורך" dataDxfId="14"/>
    <tableColumn id="5" xr3:uid="{B9B74024-7469-A149-9639-A328A6F77916}" name="כמות" dataDxfId="13"/>
    <tableColumn id="6" xr3:uid="{0FF2A4DA-EE5D-564C-892E-1BAF5895A4E7}" name="כמות: ק&quot;ג\יחידות" dataDxfId="12"/>
    <tableColumn id="7" xr3:uid="{D3D78E52-A52E-C949-9ABD-03AD0269F0BF}" name="מחיר ליחידה (₪)" dataDxfId="11"/>
    <tableColumn id="8" xr3:uid="{E1EB6162-FB78-1D4F-9435-2CE9366E3552}" name="סה&quot;כ מחיר (₪)" dataDxfId="10">
      <calculatedColumnFormula>pricing_table25[[#This Row],[מחיר ליחידה (₪)]]*pricing_table25[[#This Row],[כמות: ק"ג\יחידות]]</calculatedColumnFormula>
    </tableColumn>
    <tableColumn id="9" xr3:uid="{EAED02B8-7E3B-9B47-8C95-FD7B3D6B7DA0}" name="*כמות פחת" dataDxfId="9" totalsRowDxfId="8"/>
    <tableColumn id="10" xr3:uid="{8DD3D515-E5F7-3F44-AEEC-EBD82CE3FE68}" name="סה&quot;כ מחיר כולל פחת (₪)" dataDxfId="7" totalsRowDxfId="6"/>
    <tableColumn id="11" xr3:uid="{B17131E0-AD15-314F-8745-C01B5B56C8B5}" name="*משקל בק&quot;ג" dataDxfId="5" totalsRowDxfId="4"/>
    <tableColumn id="12" xr3:uid="{8383AEF5-4B81-5944-B8C1-7A02610AD799}" name="&gt;% Discount - Construction" dataDxfId="3" totalsRowDxfId="2"/>
    <tableColumn id="13" xr3:uid="{A6FF8C60-F61C-014D-BE3D-D97E0E91917D}" name="*סה&quot;כ מחיר כולל פחת אחרי הנחה (₪)" dataDxfId="1" totalsRowDxfId="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791F9-974C-2D45-9198-4628741EC180}" name="pricing_table34" displayName="pricing_table34" ref="B10:N11" totalsRowShown="0" headerRowDxfId="45" dataDxfId="43" totalsRowDxfId="41" headerRowBorderDxfId="44" tableBorderDxfId="42" totalsRowBorderDxfId="40">
  <autoFilter ref="B10:N11" xr:uid="{A700047D-2A12-4A24-87A3-5C54C0CD36D6}"/>
  <tableColumns count="13">
    <tableColumn id="1" xr3:uid="{C9E84F90-D937-9240-8769-8F47365B79B5}" name="שורה" dataDxfId="39"/>
    <tableColumn id="2" xr3:uid="{584DEAFB-76D6-C647-A742-316CAAE5BC89}" name="מיקום בגג" dataDxfId="38"/>
    <tableColumn id="3" xr3:uid="{199A858B-5154-3C42-B14B-B655372B7E72}" name="תאור מוצר" dataDxfId="37"/>
    <tableColumn id="4" xr3:uid="{044A01A8-0D84-EB4C-A2F1-510AF1F79EC1}" name="אורך" dataDxfId="36"/>
    <tableColumn id="5" xr3:uid="{23494D31-1003-EC4A-B3E4-56115FE1DC9B}" name="כמות" dataDxfId="35"/>
    <tableColumn id="6" xr3:uid="{C3ADA01B-011E-AF49-B8EF-BF51E4952D25}" name="כמות: ק&quot;ג\יחידות" dataDxfId="34"/>
    <tableColumn id="7" xr3:uid="{A4F8123E-37EB-2544-80EC-813AFA9298EC}" name="מחיר ליחידה (₪)" dataDxfId="33"/>
    <tableColumn id="8" xr3:uid="{891F3848-661F-3446-A7E0-95642AC543B8}" name="סה&quot;כ מחיר (₪)" dataDxfId="32">
      <calculatedColumnFormula>pricing_table34[[#This Row],[מחיר ליחידה (₪)]]*pricing_table34[[#This Row],[כמות: ק"ג\יחידות]]</calculatedColumnFormula>
    </tableColumn>
    <tableColumn id="9" xr3:uid="{A50A1AEB-0486-8F4C-A4F6-1B417D72DF83}" name="*כמות פחת" dataDxfId="31" totalsRowDxfId="30"/>
    <tableColumn id="10" xr3:uid="{3B89E727-3B11-4A40-B717-5C248FA24D57}" name="סה&quot;כ מחיר כולל פחת (₪)" dataDxfId="29" totalsRowDxfId="28"/>
    <tableColumn id="11" xr3:uid="{981756E0-FF9F-014E-A803-EA2D248E751E}" name="*משקל בק&quot;ג" dataDxfId="27" totalsRowDxfId="26"/>
    <tableColumn id="12" xr3:uid="{DAD5CC53-679B-024A-96B0-9223C3E03988}" name="&gt;% Discount - Construction" dataDxfId="25"/>
    <tableColumn id="13" xr3:uid="{7498AF7D-E4AF-4D4F-A51C-BC365E54108A}" name="*סה&quot;כ מחיר כולל פחת אחרי הנחה (₪)" dataDxfId="2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B96F5-D82A-B24D-8E16-7E74024E05A0}">
  <sheetPr codeName="Sheet5">
    <pageSetUpPr fitToPage="1"/>
  </sheetPr>
  <dimension ref="A1:T37"/>
  <sheetViews>
    <sheetView showGridLines="0" rightToLeft="1" tabSelected="1" view="pageBreakPreview" topLeftCell="G8" zoomScale="200" zoomScaleNormal="100" zoomScaleSheetLayoutView="169" workbookViewId="0">
      <selection activeCell="I19" sqref="I19"/>
    </sheetView>
  </sheetViews>
  <sheetFormatPr baseColWidth="10" defaultColWidth="9.1640625" defaultRowHeight="20" x14ac:dyDescent="0.2"/>
  <cols>
    <col min="1" max="1" width="2.5" style="3" customWidth="1"/>
    <col min="2" max="2" width="10" style="1" bestFit="1" customWidth="1"/>
    <col min="3" max="3" width="14" style="1" bestFit="1" customWidth="1"/>
    <col min="4" max="4" width="26.1640625" style="1" bestFit="1" customWidth="1"/>
    <col min="5" max="5" width="9.33203125" style="2" bestFit="1" customWidth="1"/>
    <col min="6" max="6" width="11.1640625" style="1" bestFit="1" customWidth="1"/>
    <col min="7" max="8" width="20.83203125" style="1" bestFit="1" customWidth="1"/>
    <col min="9" max="9" width="15" style="1" bestFit="1" customWidth="1"/>
    <col min="10" max="10" width="8.83203125" customWidth="1"/>
    <col min="11" max="11" width="25.6640625" style="3" bestFit="1" customWidth="1"/>
    <col min="12" max="12" width="16.1640625" style="3" bestFit="1" customWidth="1"/>
    <col min="13" max="13" width="28.5" style="3" bestFit="1" customWidth="1"/>
    <col min="14" max="14" width="35.83203125" style="3" bestFit="1" customWidth="1"/>
    <col min="15" max="16384" width="9.1640625" style="3"/>
  </cols>
  <sheetData>
    <row r="1" spans="2:14" x14ac:dyDescent="0.2">
      <c r="B1" s="1" t="s">
        <v>8</v>
      </c>
    </row>
    <row r="2" spans="2:14" x14ac:dyDescent="0.2">
      <c r="B2" s="1" t="s">
        <v>8</v>
      </c>
    </row>
    <row r="3" spans="2:14" x14ac:dyDescent="0.2">
      <c r="B3" s="1" t="s">
        <v>8</v>
      </c>
    </row>
    <row r="4" spans="2:14" ht="31" x14ac:dyDescent="0.2">
      <c r="B4" s="58" t="s">
        <v>9</v>
      </c>
      <c r="C4" s="58"/>
      <c r="D4" s="58"/>
      <c r="E4" s="58"/>
      <c r="F4" s="58"/>
      <c r="G4" s="58"/>
      <c r="H4" s="58"/>
      <c r="I4" s="58"/>
      <c r="K4" s="4"/>
      <c r="L4" s="4"/>
      <c r="M4" s="5"/>
      <c r="N4" s="6"/>
    </row>
    <row r="5" spans="2:14" ht="23" x14ac:dyDescent="0.2">
      <c r="B5" s="7"/>
      <c r="C5" s="7"/>
      <c r="D5" s="7"/>
      <c r="E5" s="7"/>
      <c r="F5" s="7"/>
      <c r="G5" s="7"/>
      <c r="H5" s="7"/>
      <c r="I5" s="7"/>
      <c r="K5" s="4"/>
      <c r="L5" s="4"/>
      <c r="M5" s="5"/>
      <c r="N5" s="6"/>
    </row>
    <row r="6" spans="2:14" ht="42" x14ac:dyDescent="0.2">
      <c r="B6" s="8" t="s">
        <v>10</v>
      </c>
      <c r="C6" s="9" t="s">
        <v>36</v>
      </c>
      <c r="H6" s="10" t="s">
        <v>11</v>
      </c>
      <c r="I6" s="9" t="s">
        <v>38</v>
      </c>
    </row>
    <row r="7" spans="2:14" ht="42" x14ac:dyDescent="0.2">
      <c r="B7" s="11" t="s">
        <v>12</v>
      </c>
      <c r="C7" s="9" t="s">
        <v>37</v>
      </c>
      <c r="H7" s="12"/>
      <c r="I7" s="9"/>
    </row>
    <row r="8" spans="2:14" ht="23" x14ac:dyDescent="0.2">
      <c r="B8" s="13"/>
      <c r="C8" s="13"/>
      <c r="D8" s="13"/>
      <c r="E8" s="13"/>
      <c r="F8" s="13"/>
      <c r="G8" s="13"/>
      <c r="H8" s="13"/>
      <c r="I8" s="13"/>
      <c r="K8" s="4"/>
      <c r="L8" s="4"/>
      <c r="M8" s="5"/>
      <c r="N8" s="6"/>
    </row>
    <row r="9" spans="2:14" ht="3.5" customHeight="1" x14ac:dyDescent="0.2">
      <c r="C9" s="14"/>
      <c r="K9" s="4"/>
      <c r="L9" s="4"/>
      <c r="M9" s="6"/>
      <c r="N9" s="6"/>
    </row>
    <row r="10" spans="2:14" s="18" customFormat="1" ht="17" customHeight="1" x14ac:dyDescent="0.2">
      <c r="B10" s="15" t="s">
        <v>0</v>
      </c>
      <c r="C10" s="15" t="s">
        <v>13</v>
      </c>
      <c r="D10" s="15" t="s">
        <v>14</v>
      </c>
      <c r="E10" s="16" t="s">
        <v>1</v>
      </c>
      <c r="F10" s="15" t="s">
        <v>2</v>
      </c>
      <c r="G10" s="15" t="s">
        <v>15</v>
      </c>
      <c r="H10" s="15" t="s">
        <v>16</v>
      </c>
      <c r="I10" s="15" t="s">
        <v>17</v>
      </c>
      <c r="J10" s="17" t="s">
        <v>3</v>
      </c>
      <c r="K10" s="17" t="s">
        <v>18</v>
      </c>
      <c r="L10" s="17" t="s">
        <v>4</v>
      </c>
      <c r="M10" s="17" t="s">
        <v>5</v>
      </c>
      <c r="N10" s="17" t="s">
        <v>6</v>
      </c>
    </row>
    <row r="11" spans="2:14" ht="17" customHeight="1" x14ac:dyDescent="0.25">
      <c r="B11" s="46" t="s">
        <v>39</v>
      </c>
      <c r="C11" s="19" t="s">
        <v>7</v>
      </c>
      <c r="D11" s="19"/>
      <c r="E11" s="20"/>
      <c r="F11" s="19"/>
      <c r="G11" s="20"/>
      <c r="H11" s="20"/>
      <c r="I11" s="20"/>
      <c r="J11" s="21"/>
      <c r="K11" s="22"/>
      <c r="L11" s="22"/>
      <c r="M11" s="22"/>
      <c r="N11" s="22"/>
    </row>
    <row r="12" spans="2:14" x14ac:dyDescent="0.2">
      <c r="H12" s="24" t="s">
        <v>19</v>
      </c>
      <c r="I12" s="25">
        <f>SUM(I11:I11)</f>
        <v>0</v>
      </c>
      <c r="J12" s="26">
        <f>SUM(J11:J11)</f>
        <v>0</v>
      </c>
      <c r="K12" s="27" t="s">
        <v>20</v>
      </c>
      <c r="L12" s="28">
        <f>SUM(L11:L11)</f>
        <v>0</v>
      </c>
      <c r="M12" s="3" t="s">
        <v>21</v>
      </c>
      <c r="N12" s="28">
        <f>SUM(N11:N11)</f>
        <v>0</v>
      </c>
    </row>
    <row r="13" spans="2:14" x14ac:dyDescent="0.2">
      <c r="H13" s="24" t="s">
        <v>21</v>
      </c>
      <c r="I13" s="25">
        <f>N12</f>
        <v>0</v>
      </c>
      <c r="J13" s="29"/>
      <c r="K13" s="27"/>
      <c r="L13" s="30"/>
      <c r="N13" s="30"/>
    </row>
    <row r="14" spans="2:14" x14ac:dyDescent="0.2">
      <c r="H14" s="23" t="s">
        <v>22</v>
      </c>
      <c r="I14" s="31">
        <f>I13*18%</f>
        <v>0</v>
      </c>
    </row>
    <row r="15" spans="2:14" x14ac:dyDescent="0.2">
      <c r="H15" s="32" t="s">
        <v>17</v>
      </c>
      <c r="I15" s="33">
        <f>I14+I13</f>
        <v>0</v>
      </c>
    </row>
    <row r="16" spans="2:14" x14ac:dyDescent="0.2">
      <c r="H16" s="32" t="s">
        <v>23</v>
      </c>
      <c r="I16" s="33">
        <f>L12</f>
        <v>0</v>
      </c>
    </row>
    <row r="17" spans="1:20" ht="17" customHeight="1" x14ac:dyDescent="0.2">
      <c r="A17" s="1"/>
      <c r="G17" s="3"/>
      <c r="H17" s="32" t="s">
        <v>41</v>
      </c>
      <c r="I17" s="52" t="s">
        <v>43</v>
      </c>
      <c r="J17" s="3"/>
    </row>
    <row r="18" spans="1:20" ht="17" customHeight="1" x14ac:dyDescent="0.2">
      <c r="A18" s="1"/>
      <c r="G18" s="3"/>
      <c r="H18" s="32" t="s">
        <v>42</v>
      </c>
      <c r="I18" s="52" t="s">
        <v>44</v>
      </c>
      <c r="J18" s="3"/>
    </row>
    <row r="19" spans="1:20" x14ac:dyDescent="0.2">
      <c r="B19" s="1" t="s">
        <v>8</v>
      </c>
    </row>
    <row r="20" spans="1:20" x14ac:dyDescent="0.2">
      <c r="B20" s="59" t="s">
        <v>24</v>
      </c>
      <c r="C20" s="59"/>
      <c r="D20" s="35" t="e">
        <f>EDATE(I6,1)</f>
        <v>#VALUE!</v>
      </c>
      <c r="F20" s="2" t="s">
        <v>25</v>
      </c>
      <c r="G20" s="1" t="s">
        <v>26</v>
      </c>
    </row>
    <row r="21" spans="1:20" x14ac:dyDescent="0.2">
      <c r="B21" s="34" t="s">
        <v>8</v>
      </c>
    </row>
    <row r="22" spans="1:20" x14ac:dyDescent="0.2">
      <c r="B22" s="60" t="s">
        <v>27</v>
      </c>
      <c r="C22" s="60"/>
      <c r="D22" s="60"/>
      <c r="E22" s="60"/>
      <c r="F22" s="60"/>
      <c r="G22" s="60"/>
      <c r="H22" s="60"/>
      <c r="I22" s="60"/>
    </row>
    <row r="23" spans="1:20" x14ac:dyDescent="0.2">
      <c r="B23" s="60" t="s">
        <v>28</v>
      </c>
      <c r="C23" s="60"/>
      <c r="D23" s="60"/>
      <c r="E23" s="60"/>
      <c r="F23" s="60"/>
      <c r="G23" s="60"/>
      <c r="H23" s="60"/>
      <c r="I23" s="60"/>
    </row>
    <row r="24" spans="1:20" x14ac:dyDescent="0.2">
      <c r="B24" s="60" t="s">
        <v>29</v>
      </c>
      <c r="C24" s="60"/>
      <c r="D24" s="60"/>
      <c r="E24" s="60"/>
      <c r="F24" s="60"/>
      <c r="G24" s="60"/>
      <c r="H24" s="60"/>
      <c r="I24" s="60"/>
    </row>
    <row r="25" spans="1:20" x14ac:dyDescent="0.2">
      <c r="B25" s="60" t="s">
        <v>30</v>
      </c>
      <c r="C25" s="60"/>
      <c r="D25" s="60"/>
      <c r="E25" s="60"/>
      <c r="F25" s="60"/>
      <c r="G25" s="60"/>
      <c r="H25" s="60"/>
      <c r="I25" s="60"/>
    </row>
    <row r="26" spans="1:20" ht="21" x14ac:dyDescent="0.2">
      <c r="B26" s="36" t="s">
        <v>8</v>
      </c>
    </row>
    <row r="27" spans="1:20" ht="21" x14ac:dyDescent="0.2">
      <c r="B27" s="36" t="s">
        <v>8</v>
      </c>
    </row>
    <row r="28" spans="1:20" x14ac:dyDescent="0.2">
      <c r="B28" s="34"/>
      <c r="H28" s="10" t="s">
        <v>31</v>
      </c>
    </row>
    <row r="29" spans="1:20" x14ac:dyDescent="0.2">
      <c r="B29" s="37"/>
      <c r="H29" s="10" t="s">
        <v>32</v>
      </c>
    </row>
    <row r="30" spans="1:20" customFormat="1" ht="74.25" customHeight="1" x14ac:dyDescent="0.2">
      <c r="A30" s="3"/>
      <c r="B30" s="37"/>
      <c r="C30" s="1"/>
      <c r="D30" s="1"/>
      <c r="E30" s="2"/>
      <c r="F30" s="1"/>
      <c r="G30" s="1"/>
      <c r="H30" s="10"/>
      <c r="I30" s="1"/>
      <c r="K30" s="3"/>
      <c r="L30" s="3"/>
      <c r="M30" s="3"/>
      <c r="N30" s="3"/>
      <c r="O30" s="3"/>
      <c r="P30" s="3"/>
      <c r="Q30" s="3"/>
      <c r="R30" s="3"/>
      <c r="S30" s="3"/>
      <c r="T30" s="3"/>
    </row>
    <row r="31" spans="1:20" customFormat="1" ht="16" x14ac:dyDescent="0.2">
      <c r="A31" s="3"/>
      <c r="B31" s="57"/>
      <c r="C31" s="57"/>
      <c r="D31" s="57"/>
      <c r="E31" s="57"/>
      <c r="F31" s="57"/>
      <c r="G31" s="57"/>
      <c r="H31" s="57"/>
      <c r="I31" s="57"/>
      <c r="K31" s="3"/>
      <c r="L31" s="3"/>
      <c r="M31" s="3"/>
      <c r="N31" s="3"/>
      <c r="O31" s="3"/>
      <c r="P31" s="3"/>
      <c r="Q31" s="3"/>
      <c r="R31" s="3"/>
      <c r="S31" s="3"/>
      <c r="T31" s="3"/>
    </row>
    <row r="32" spans="1:20" customFormat="1" x14ac:dyDescent="0.2">
      <c r="A32" s="3"/>
      <c r="B32" s="37"/>
      <c r="C32" s="1"/>
      <c r="D32" s="1"/>
      <c r="E32" s="2"/>
      <c r="F32" s="1"/>
      <c r="G32" s="1"/>
      <c r="H32" s="10"/>
      <c r="I32" s="1"/>
      <c r="K32" s="3"/>
      <c r="L32" s="3"/>
      <c r="M32" s="3"/>
      <c r="N32" s="3"/>
      <c r="O32" s="3"/>
      <c r="P32" s="3"/>
      <c r="Q32" s="3"/>
      <c r="R32" s="3"/>
      <c r="S32" s="3"/>
      <c r="T32" s="3"/>
    </row>
    <row r="35" spans="1:20" customFormat="1" x14ac:dyDescent="0.2">
      <c r="A35" s="3"/>
      <c r="B35" s="1"/>
      <c r="C35" s="53"/>
      <c r="D35" s="53"/>
      <c r="E35" s="53"/>
      <c r="F35" s="53"/>
      <c r="G35" s="53"/>
      <c r="H35" s="53"/>
      <c r="I35" s="53"/>
      <c r="K35" s="3"/>
      <c r="L35" s="3"/>
      <c r="M35" s="3"/>
      <c r="N35" s="3"/>
      <c r="O35" s="3"/>
      <c r="P35" s="3"/>
      <c r="Q35" s="3"/>
      <c r="R35" s="3"/>
      <c r="S35" s="3"/>
      <c r="T35" s="3"/>
    </row>
    <row r="36" spans="1:20" customFormat="1" x14ac:dyDescent="0.2">
      <c r="A36" s="3"/>
      <c r="B36" s="1"/>
      <c r="C36" s="53"/>
      <c r="D36" s="53"/>
      <c r="E36" s="53"/>
      <c r="F36" s="53"/>
      <c r="G36" s="53"/>
      <c r="H36" s="53"/>
      <c r="I36" s="1"/>
      <c r="K36" s="3"/>
      <c r="L36" s="3"/>
      <c r="M36" s="3"/>
      <c r="N36" s="3"/>
      <c r="O36" s="3"/>
      <c r="P36" s="3"/>
      <c r="Q36" s="3"/>
      <c r="R36" s="3"/>
      <c r="S36" s="3"/>
      <c r="T36" s="3"/>
    </row>
    <row r="37" spans="1:20" customFormat="1" x14ac:dyDescent="0.2">
      <c r="A37" s="3"/>
      <c r="B37" s="1"/>
      <c r="C37" s="53"/>
      <c r="D37" s="53"/>
      <c r="E37" s="53"/>
      <c r="F37" s="53"/>
      <c r="G37" s="53"/>
      <c r="H37" s="53"/>
      <c r="I37" s="1"/>
      <c r="K37" s="3"/>
      <c r="L37" s="3"/>
      <c r="M37" s="3"/>
      <c r="N37" s="3"/>
      <c r="O37" s="3"/>
      <c r="P37" s="3"/>
      <c r="Q37" s="3"/>
      <c r="R37" s="3"/>
      <c r="S37" s="3"/>
      <c r="T37" s="3"/>
    </row>
  </sheetData>
  <mergeCells count="10">
    <mergeCell ref="B31:I31"/>
    <mergeCell ref="C35:I35"/>
    <mergeCell ref="C36:H36"/>
    <mergeCell ref="C37:H37"/>
    <mergeCell ref="B4:I4"/>
    <mergeCell ref="B20:C20"/>
    <mergeCell ref="B22:I22"/>
    <mergeCell ref="B23:I23"/>
    <mergeCell ref="B24:I24"/>
    <mergeCell ref="B25:I25"/>
  </mergeCells>
  <printOptions horizontalCentered="1"/>
  <pageMargins left="3.937007874015748E-2" right="3.937007874015748E-2" top="0.39370078740157483" bottom="0.19685039370078741" header="0.39370078740157483" footer="0"/>
  <pageSetup paperSize="9" scale="73" orientation="portrait" r:id="rId1"/>
  <headerFooter>
    <oddHeader>&amp;C&amp;G</oddHeader>
    <oddFooter>&amp;C&amp;G</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0E4C-B69B-0D43-8027-B0FED1B9A8EC}">
  <sheetPr codeName="Sheet9">
    <pageSetUpPr fitToPage="1"/>
  </sheetPr>
  <dimension ref="A1:T27"/>
  <sheetViews>
    <sheetView showGridLines="0" rightToLeft="1" view="pageBreakPreview" topLeftCell="A5" zoomScale="132" zoomScaleNormal="100" zoomScaleSheetLayoutView="169" workbookViewId="0">
      <selection activeCell="L15" sqref="L15"/>
    </sheetView>
  </sheetViews>
  <sheetFormatPr baseColWidth="10" defaultColWidth="9.1640625" defaultRowHeight="20" x14ac:dyDescent="0.35"/>
  <cols>
    <col min="1" max="1" width="2.5" style="1" customWidth="1"/>
    <col min="2" max="2" width="10" style="1" bestFit="1" customWidth="1"/>
    <col min="3" max="3" width="14" style="1" bestFit="1" customWidth="1"/>
    <col min="4" max="4" width="26.1640625" style="1" bestFit="1" customWidth="1"/>
    <col min="5" max="5" width="9.33203125" style="2" bestFit="1" customWidth="1"/>
    <col min="6" max="6" width="11.1640625" style="1" bestFit="1" customWidth="1"/>
    <col min="7" max="7" width="20.83203125" style="1" bestFit="1" customWidth="1"/>
    <col min="8" max="8" width="15.83203125" style="1" hidden="1" customWidth="1"/>
    <col min="9" max="9" width="15" style="1" hidden="1" customWidth="1"/>
    <col min="10" max="10" width="8.83203125" style="38" hidden="1" customWidth="1"/>
    <col min="11" max="11" width="0" style="1" hidden="1" customWidth="1"/>
    <col min="12" max="12" width="15.83203125" style="1" bestFit="1" customWidth="1"/>
    <col min="13" max="16384" width="9.1640625" style="3"/>
  </cols>
  <sheetData>
    <row r="1" spans="1:14" x14ac:dyDescent="0.35">
      <c r="B1" s="1" t="s">
        <v>8</v>
      </c>
    </row>
    <row r="2" spans="1:14" x14ac:dyDescent="0.35">
      <c r="B2" s="1" t="s">
        <v>8</v>
      </c>
    </row>
    <row r="3" spans="1:14" x14ac:dyDescent="0.35">
      <c r="B3" s="1" t="s">
        <v>8</v>
      </c>
    </row>
    <row r="4" spans="1:14" ht="31" x14ac:dyDescent="0.2">
      <c r="B4" s="54" t="s">
        <v>33</v>
      </c>
      <c r="C4" s="54"/>
      <c r="D4" s="54"/>
      <c r="E4" s="54"/>
      <c r="F4" s="54"/>
      <c r="G4" s="54"/>
      <c r="H4" s="54"/>
      <c r="I4" s="54"/>
      <c r="J4" s="54"/>
      <c r="K4" s="54"/>
      <c r="L4" s="54"/>
      <c r="M4" s="5"/>
      <c r="N4" s="6"/>
    </row>
    <row r="5" spans="1:14" ht="23" x14ac:dyDescent="0.35">
      <c r="B5" s="7"/>
      <c r="C5" s="7"/>
      <c r="D5" s="7"/>
      <c r="E5" s="7"/>
      <c r="F5" s="7"/>
      <c r="G5" s="7"/>
      <c r="H5" s="13"/>
      <c r="I5" s="13"/>
      <c r="K5" s="39"/>
      <c r="L5" s="39"/>
      <c r="M5" s="5"/>
      <c r="N5" s="6"/>
    </row>
    <row r="6" spans="1:14" ht="42" x14ac:dyDescent="0.35">
      <c r="B6" s="8" t="s">
        <v>10</v>
      </c>
      <c r="C6" s="9" t="s">
        <v>36</v>
      </c>
      <c r="F6" s="10" t="s">
        <v>11</v>
      </c>
      <c r="G6" s="9" t="s">
        <v>38</v>
      </c>
      <c r="H6" s="38"/>
      <c r="J6" s="1"/>
    </row>
    <row r="7" spans="1:14" ht="42" x14ac:dyDescent="0.35">
      <c r="B7" s="11" t="s">
        <v>12</v>
      </c>
      <c r="C7" s="9" t="s">
        <v>37</v>
      </c>
      <c r="F7" s="12"/>
      <c r="G7" s="9"/>
      <c r="H7" s="38"/>
      <c r="J7" s="1"/>
    </row>
    <row r="8" spans="1:14" ht="23" x14ac:dyDescent="0.35">
      <c r="B8" s="13"/>
      <c r="C8" s="13"/>
      <c r="D8" s="13"/>
      <c r="E8" s="13"/>
      <c r="F8" s="13"/>
      <c r="G8" s="13"/>
      <c r="H8" s="13"/>
      <c r="I8" s="13"/>
      <c r="K8" s="39"/>
      <c r="L8" s="39"/>
      <c r="M8" s="5"/>
      <c r="N8" s="6"/>
    </row>
    <row r="9" spans="1:14" ht="3.5" customHeight="1" x14ac:dyDescent="0.35">
      <c r="C9" s="14"/>
      <c r="K9" s="39"/>
      <c r="L9" s="39"/>
      <c r="M9" s="6"/>
      <c r="N9" s="6"/>
    </row>
    <row r="10" spans="1:14" s="18" customFormat="1" ht="17" customHeight="1" x14ac:dyDescent="0.2">
      <c r="A10" s="40"/>
      <c r="B10" s="15" t="s">
        <v>0</v>
      </c>
      <c r="C10" s="15" t="s">
        <v>13</v>
      </c>
      <c r="D10" s="15" t="s">
        <v>14</v>
      </c>
      <c r="E10" s="16" t="s">
        <v>1</v>
      </c>
      <c r="F10" s="15" t="s">
        <v>2</v>
      </c>
      <c r="G10" s="15" t="s">
        <v>15</v>
      </c>
      <c r="H10" s="15" t="s">
        <v>16</v>
      </c>
      <c r="I10" s="15" t="s">
        <v>17</v>
      </c>
      <c r="J10" s="41" t="s">
        <v>3</v>
      </c>
      <c r="K10" s="41" t="s">
        <v>18</v>
      </c>
      <c r="L10" s="41" t="s">
        <v>4</v>
      </c>
      <c r="M10" s="17" t="s">
        <v>5</v>
      </c>
      <c r="N10" s="17" t="s">
        <v>6</v>
      </c>
    </row>
    <row r="11" spans="1:14" ht="17" customHeight="1" x14ac:dyDescent="0.25">
      <c r="B11" s="46" t="s">
        <v>40</v>
      </c>
      <c r="C11" s="19"/>
      <c r="D11" s="19"/>
      <c r="E11" s="20"/>
      <c r="F11" s="19"/>
      <c r="G11" s="20"/>
      <c r="H11" s="20"/>
      <c r="I11" s="20"/>
      <c r="J11" s="20"/>
      <c r="K11" s="42"/>
      <c r="L11" s="43"/>
      <c r="M11" s="43"/>
      <c r="N11" s="43"/>
    </row>
    <row r="12" spans="1:14" ht="17" customHeight="1" x14ac:dyDescent="0.2">
      <c r="G12" s="47" t="s">
        <v>23</v>
      </c>
      <c r="H12" s="48" t="s">
        <v>19</v>
      </c>
      <c r="I12" s="49">
        <f>SUM(I11:I11)</f>
        <v>0</v>
      </c>
      <c r="J12" s="49">
        <f>SUM(J11:J11)</f>
        <v>0</v>
      </c>
      <c r="K12" s="44" t="s">
        <v>20</v>
      </c>
      <c r="L12" s="50">
        <f>SUM(L11:L11)</f>
        <v>0</v>
      </c>
    </row>
    <row r="13" spans="1:14" ht="17" customHeight="1" x14ac:dyDescent="0.2">
      <c r="G13" s="32" t="s">
        <v>41</v>
      </c>
      <c r="H13" s="32"/>
      <c r="I13" s="51"/>
      <c r="J13" s="51"/>
      <c r="K13" s="32"/>
      <c r="L13" s="52" t="s">
        <v>43</v>
      </c>
    </row>
    <row r="14" spans="1:14" ht="17" customHeight="1" x14ac:dyDescent="0.2">
      <c r="G14" s="32" t="s">
        <v>42</v>
      </c>
      <c r="H14" s="32"/>
      <c r="I14" s="51"/>
      <c r="J14" s="51"/>
      <c r="K14" s="32"/>
      <c r="L14" s="52" t="s">
        <v>44</v>
      </c>
    </row>
    <row r="15" spans="1:14" ht="18" customHeight="1" x14ac:dyDescent="0.35">
      <c r="H15" s="23" t="s">
        <v>22</v>
      </c>
      <c r="I15" s="31">
        <f>I12*18%</f>
        <v>0</v>
      </c>
    </row>
    <row r="16" spans="1:14" ht="210.75" customHeight="1" x14ac:dyDescent="0.2">
      <c r="B16" s="55" t="s">
        <v>34</v>
      </c>
      <c r="C16" s="55"/>
      <c r="D16" s="55"/>
      <c r="E16" s="55"/>
      <c r="F16" s="55"/>
      <c r="G16" s="55"/>
      <c r="H16" s="55"/>
      <c r="I16" s="55"/>
      <c r="J16" s="55"/>
      <c r="K16" s="55"/>
      <c r="L16" s="55"/>
    </row>
    <row r="17" spans="1:20" x14ac:dyDescent="0.2">
      <c r="E17" s="1"/>
      <c r="F17" s="56" t="s">
        <v>35</v>
      </c>
      <c r="G17" s="56"/>
      <c r="J17" s="1"/>
    </row>
    <row r="18" spans="1:20" x14ac:dyDescent="0.2">
      <c r="B18" s="45"/>
      <c r="C18" s="45"/>
      <c r="D18" s="45"/>
      <c r="E18" s="45"/>
      <c r="F18" s="10"/>
      <c r="G18" s="45"/>
      <c r="H18" s="45"/>
      <c r="I18" s="45"/>
      <c r="J18" s="1"/>
    </row>
    <row r="19" spans="1:20" ht="78" customHeight="1" x14ac:dyDescent="0.2">
      <c r="B19" s="37"/>
      <c r="E19" s="1"/>
      <c r="F19" s="10"/>
      <c r="J19" s="1"/>
    </row>
    <row r="20" spans="1:20" customFormat="1" x14ac:dyDescent="0.35">
      <c r="A20" s="38"/>
      <c r="B20" s="37"/>
      <c r="C20" s="1"/>
      <c r="D20" s="1"/>
      <c r="E20" s="2"/>
      <c r="F20" s="1"/>
      <c r="G20" s="1"/>
      <c r="H20" s="10"/>
      <c r="I20" s="1"/>
      <c r="J20" s="38"/>
      <c r="K20" s="1"/>
      <c r="L20" s="1"/>
      <c r="M20" s="3"/>
      <c r="N20" s="3"/>
      <c r="O20" s="3"/>
      <c r="P20" s="3"/>
      <c r="Q20" s="3"/>
      <c r="R20" s="3"/>
      <c r="S20" s="3"/>
      <c r="T20" s="3"/>
    </row>
    <row r="21" spans="1:20" customFormat="1" x14ac:dyDescent="0.35">
      <c r="A21" s="38"/>
      <c r="B21" s="57"/>
      <c r="C21" s="57"/>
      <c r="D21" s="57"/>
      <c r="E21" s="57"/>
      <c r="F21" s="57"/>
      <c r="G21" s="57"/>
      <c r="H21" s="57"/>
      <c r="I21" s="57"/>
      <c r="J21" s="38"/>
      <c r="K21" s="1"/>
      <c r="L21" s="1"/>
      <c r="M21" s="3"/>
      <c r="N21" s="3"/>
      <c r="O21" s="3"/>
      <c r="P21" s="3"/>
      <c r="Q21" s="3"/>
      <c r="R21" s="3"/>
      <c r="S21" s="3"/>
      <c r="T21" s="3"/>
    </row>
    <row r="22" spans="1:20" customFormat="1" x14ac:dyDescent="0.35">
      <c r="A22" s="38"/>
      <c r="B22" s="37"/>
      <c r="C22" s="1"/>
      <c r="D22" s="1"/>
      <c r="E22" s="2"/>
      <c r="F22" s="1"/>
      <c r="G22" s="1"/>
      <c r="H22" s="10"/>
      <c r="I22" s="1"/>
      <c r="J22" s="38"/>
      <c r="K22" s="1"/>
      <c r="L22" s="1"/>
      <c r="M22" s="3"/>
      <c r="N22" s="3"/>
      <c r="O22" s="3"/>
      <c r="P22" s="3"/>
      <c r="Q22" s="3"/>
      <c r="R22" s="3"/>
      <c r="S22" s="3"/>
      <c r="T22" s="3"/>
    </row>
    <row r="25" spans="1:20" customFormat="1" x14ac:dyDescent="0.35">
      <c r="A25" s="38"/>
      <c r="B25" s="1"/>
      <c r="C25" s="53"/>
      <c r="D25" s="53"/>
      <c r="E25" s="53"/>
      <c r="F25" s="53"/>
      <c r="G25" s="53"/>
      <c r="H25" s="53"/>
      <c r="I25" s="53"/>
      <c r="J25" s="38"/>
      <c r="K25" s="1"/>
      <c r="L25" s="1"/>
      <c r="M25" s="3"/>
      <c r="N25" s="3"/>
      <c r="O25" s="3"/>
      <c r="P25" s="3"/>
      <c r="Q25" s="3"/>
      <c r="R25" s="3"/>
      <c r="S25" s="3"/>
      <c r="T25" s="3"/>
    </row>
    <row r="26" spans="1:20" customFormat="1" x14ac:dyDescent="0.35">
      <c r="A26" s="38"/>
      <c r="B26" s="1"/>
      <c r="C26" s="53"/>
      <c r="D26" s="53"/>
      <c r="E26" s="53"/>
      <c r="F26" s="53"/>
      <c r="G26" s="53"/>
      <c r="H26" s="53"/>
      <c r="I26" s="1"/>
      <c r="J26" s="38"/>
      <c r="K26" s="1"/>
      <c r="L26" s="1"/>
      <c r="M26" s="3"/>
      <c r="N26" s="3"/>
      <c r="O26" s="3"/>
      <c r="P26" s="3"/>
      <c r="Q26" s="3"/>
      <c r="R26" s="3"/>
      <c r="S26" s="3"/>
      <c r="T26" s="3"/>
    </row>
    <row r="27" spans="1:20" customFormat="1" x14ac:dyDescent="0.35">
      <c r="A27" s="38"/>
      <c r="B27" s="1"/>
      <c r="C27" s="53"/>
      <c r="D27" s="53"/>
      <c r="E27" s="53"/>
      <c r="F27" s="53"/>
      <c r="G27" s="53"/>
      <c r="H27" s="53"/>
      <c r="I27" s="1"/>
      <c r="J27" s="38"/>
      <c r="K27" s="1"/>
      <c r="L27" s="1"/>
      <c r="M27" s="3"/>
      <c r="N27" s="3"/>
      <c r="O27" s="3"/>
      <c r="P27" s="3"/>
      <c r="Q27" s="3"/>
      <c r="R27" s="3"/>
      <c r="S27" s="3"/>
      <c r="T27" s="3"/>
    </row>
  </sheetData>
  <mergeCells count="7">
    <mergeCell ref="C27:H27"/>
    <mergeCell ref="B4:L4"/>
    <mergeCell ref="B16:L16"/>
    <mergeCell ref="F17:G17"/>
    <mergeCell ref="B21:I21"/>
    <mergeCell ref="C25:I25"/>
    <mergeCell ref="C26:H26"/>
  </mergeCells>
  <phoneticPr fontId="19" type="noConversion"/>
  <printOptions horizontalCentered="1"/>
  <pageMargins left="3.937007874015748E-2" right="3.937007874015748E-2" top="0.39370078740157483" bottom="0.19685039370078741" header="0.39370078740157483" footer="0"/>
  <pageSetup paperSize="9" scale="86" orientation="portrait" r:id="rId1"/>
  <headerFooter>
    <oddHeader>&amp;C&amp;G</oddHeader>
    <oddFooter>&amp;C&amp;G</oddFooter>
  </headerFooter>
  <legacyDrawingHF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pricing</vt:lpstr>
      <vt:lpstr>quantities</vt:lpstr>
      <vt:lpstr>pricing!Print_Area</vt:lpstr>
      <vt:lpstr>quantities!Print_Area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2026-05-05T16:03:59Z</dcterms:created>
  <dcterms:modified xsi:type="dcterms:W3CDTF">2026-05-10T06:03:43Z</dcterms:modified>
</cp:coreProperties>
</file>